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technikgrupo.sharepoint.com/sites/TechnikDigital/Documentos Partilhados/auto_doc_ld_fd/auto_doc_ld_fd/excel/"/>
    </mc:Choice>
  </mc:AlternateContent>
  <xr:revisionPtr revIDLastSave="263" documentId="8_{6DBDB505-9006-4726-A3C1-FC160DE259C0}" xr6:coauthVersionLast="47" xr6:coauthVersionMax="47" xr10:uidLastSave="{B1A06F3B-9354-411E-91D1-4EC658EBF864}"/>
  <bookViews>
    <workbookView xWindow="-108" yWindow="-108" windowWidth="23256" windowHeight="12456" tabRatio="778" firstSheet="1" activeTab="2" xr2:uid="{00000000-000D-0000-FFFF-FFFF00000000}"/>
  </bookViews>
  <sheets>
    <sheet name="Config" sheetId="61" state="hidden" r:id="rId1"/>
    <sheet name="Capa" sheetId="59" r:id="rId2"/>
    <sheet name="Folhas" sheetId="56" r:id="rId3"/>
  </sheets>
  <definedNames>
    <definedName name="_xlnm.Print_Area" localSheetId="1">Capa!$A$1:$O$84</definedName>
    <definedName name="_xlnm.Print_Area" localSheetId="2">Folhas!$A$1:$S$43</definedName>
    <definedName name="LogoClienteCapa">Capa!$A$1:$C$4</definedName>
    <definedName name="LogoTechnikCapa">Capa!$A$5:$C$8</definedName>
    <definedName name="LogoTechnikFolha" localSheetId="2">Folhas!$A$1:$A$4</definedName>
    <definedName name="NomeDoc">Capa!$J$1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56" l="1"/>
  <c r="A1" i="59"/>
  <c r="A5" i="59"/>
  <c r="J1" i="56"/>
  <c r="D81" i="59"/>
  <c r="E5" i="59"/>
  <c r="E3" i="59"/>
  <c r="J1" i="59"/>
  <c r="D80" i="59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<sst xmlns="http://schemas.openxmlformats.org/spreadsheetml/2006/main" count="114" uniqueCount="105">
  <si>
    <t>GERAL</t>
  </si>
  <si>
    <t>VÁLVULA SOLENÓIDE</t>
  </si>
  <si>
    <t>TAG / Quantidade</t>
  </si>
  <si>
    <t>Função</t>
  </si>
  <si>
    <t>Bitola da linha</t>
  </si>
  <si>
    <t>Tipo do corpo</t>
  </si>
  <si>
    <t>Material do corpo</t>
  </si>
  <si>
    <t>Diâmetro da válvula</t>
  </si>
  <si>
    <t>Conexões e faceamento</t>
  </si>
  <si>
    <t>Castelo</t>
  </si>
  <si>
    <t>Classe de vedação</t>
  </si>
  <si>
    <t>INTERNOS</t>
  </si>
  <si>
    <t>Material das gaxetas</t>
  </si>
  <si>
    <t>Material da haste</t>
  </si>
  <si>
    <t>Obturador balanceado</t>
  </si>
  <si>
    <t>Direção do fluxo</t>
  </si>
  <si>
    <t>ATUADOR</t>
  </si>
  <si>
    <t>Tipo</t>
  </si>
  <si>
    <t>Range</t>
  </si>
  <si>
    <t>Volante</t>
  </si>
  <si>
    <t>Ação em caso de falha</t>
  </si>
  <si>
    <t>POSICIONADOR</t>
  </si>
  <si>
    <t>By-pass</t>
  </si>
  <si>
    <t>Manômetros quantidade</t>
  </si>
  <si>
    <t>Sinal de entrada</t>
  </si>
  <si>
    <t>Sial de saída</t>
  </si>
  <si>
    <t>Característica do came</t>
  </si>
  <si>
    <t>Alimentação de ar</t>
  </si>
  <si>
    <t>ACESSÓRIOS</t>
  </si>
  <si>
    <t>Manômetro para o regulador</t>
  </si>
  <si>
    <t>Posição do volante</t>
  </si>
  <si>
    <t>TAG</t>
  </si>
  <si>
    <t>FINS DE CURSO</t>
  </si>
  <si>
    <t>Quantidade</t>
  </si>
  <si>
    <t>Tipo dos contatos</t>
  </si>
  <si>
    <t>Conexão elétrica</t>
  </si>
  <si>
    <t>Classificação de área</t>
  </si>
  <si>
    <t>Classificação do invólucro</t>
  </si>
  <si>
    <t>DADOS DE PROCESSO</t>
  </si>
  <si>
    <t>Fluido</t>
  </si>
  <si>
    <t>Estado físico</t>
  </si>
  <si>
    <t>Viscosidade</t>
  </si>
  <si>
    <t>Vazão normal</t>
  </si>
  <si>
    <t>Vazão máxima</t>
  </si>
  <si>
    <t>Vazão mínima</t>
  </si>
  <si>
    <t>Pressão shut off</t>
  </si>
  <si>
    <t>Temperatura máxima</t>
  </si>
  <si>
    <t>Temperatura normal</t>
  </si>
  <si>
    <t>Massa específica</t>
  </si>
  <si>
    <t>Cv calculado (máximo) / % abertura</t>
  </si>
  <si>
    <t>Cv calculado (normal) / % abertura</t>
  </si>
  <si>
    <t>Cv calculado (mínimo) / % abertura</t>
  </si>
  <si>
    <t>Cv selecionado</t>
  </si>
  <si>
    <t>Nível de ruído</t>
  </si>
  <si>
    <t>Classe da bobina</t>
  </si>
  <si>
    <t>Número de bobinas</t>
  </si>
  <si>
    <t>Classificação da área</t>
  </si>
  <si>
    <t>Conexão pneumática</t>
  </si>
  <si>
    <t>Pressão suprimento de ar (min/max)</t>
  </si>
  <si>
    <t>Guias</t>
  </si>
  <si>
    <t>Sede</t>
  </si>
  <si>
    <t>Número de vias/posições</t>
  </si>
  <si>
    <t>Filtro / Filtro regulador</t>
  </si>
  <si>
    <t>Fluxograma</t>
  </si>
  <si>
    <t>Notas:</t>
  </si>
  <si>
    <t>Pressão de entrada</t>
  </si>
  <si>
    <t>Pressão de saída</t>
  </si>
  <si>
    <t>Material do disco</t>
  </si>
  <si>
    <t>FOLHA DE DADOS</t>
  </si>
  <si>
    <t>N°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</si>
  <si>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</si>
  <si>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</si>
  <si>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</si>
  <si>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t>PÁTIO D3</t>
  </si>
  <si>
    <t>CENTRO DE ENGENHARIA TECHNIK</t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</si>
  <si>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</si>
  <si>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</si>
  <si>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t>REV</t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</si>
  <si>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</si>
  <si>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0</t>
  </si>
  <si>
    <t>REVISÃO INICIAL</t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</si>
  <si>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</si>
  <si>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</si>
  <si>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</si>
  <si>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</si>
  <si>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</si>
  <si>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t>MCM</t>
  </si>
  <si>
    <r>
      <t xml:space="preserve">VERIFICAÇÃO / </t>
    </r>
    <r>
      <rPr>
        <i/>
        <sz val="8"/>
        <rFont val="Arial"/>
        <family val="2"/>
      </rPr>
      <t>Verified by</t>
    </r>
  </si>
  <si>
    <t>JLMJ</t>
  </si>
  <si>
    <r>
      <t xml:space="preserve">APROVAÇÃO / </t>
    </r>
    <r>
      <rPr>
        <i/>
        <sz val="8"/>
        <rFont val="Arial"/>
        <family val="2"/>
      </rPr>
      <t>Approved by</t>
    </r>
  </si>
  <si>
    <t>CACC</t>
  </si>
  <si>
    <t>FOLHA DE DADOS DE VÁLVULA ON OFF - PÁTIO D3</t>
  </si>
  <si>
    <t>Nº.:</t>
  </si>
  <si>
    <t>ÁREA:</t>
  </si>
  <si>
    <t>VÁLVULA ON OFF</t>
  </si>
  <si>
    <t>id</t>
  </si>
  <si>
    <t>logoCliente</t>
  </si>
  <si>
    <t>nomeCliente</t>
  </si>
  <si>
    <t>numProjeto</t>
  </si>
  <si>
    <t>cidadeCliente</t>
  </si>
  <si>
    <t>siglaProjeto</t>
  </si>
  <si>
    <t>solicitante</t>
  </si>
  <si>
    <t>responsavelTecnico</t>
  </si>
  <si>
    <t>servico</t>
  </si>
  <si>
    <t>https://technikgrupo.sharepoint.com/sites/transfer/Logos/Technik.png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</si>
</sst>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b/>
      <i/>
      <sz val="11"/>
      <name val="Penguin-Light-Normal"/>
    </font>
    <font>
      <sz val="7"/>
      <name val="Arial Narrow"/>
      <family val="2"/>
    </font>
    <font>
      <i/>
      <sz val="8"/>
      <name val="Penguin-Light-Normal"/>
    </font>
    <font>
      <sz val="8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i/>
      <sz val="11"/>
      <color indexed="8"/>
      <name val="Arial"/>
      <family val="2"/>
    </font>
    <font>
      <i/>
      <sz val="10"/>
      <color indexed="8"/>
      <name val="Arial"/>
      <family val="2"/>
    </font>
    <font>
      <sz val="6"/>
      <name val="Arial"/>
      <family val="2"/>
    </font>
    <font>
      <b/>
      <sz val="10"/>
      <color rgb="FFFF0000"/>
      <name val="Arial"/>
      <family val="2"/>
    </font>
    <font>
      <sz val="8"/>
      <color rgb="FF000000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sz val="12"/>
      <name val="Arial"/>
      <family val="2"/>
    </font>
    <font>
      <u/>
      <sz val="10"/>
      <color theme="10"/>
      <name val="Arial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3" fillId="0" borderId="0" applyFill="0" applyBorder="0" applyAlignment="0"/>
    <xf numFmtId="0" fontId="4" fillId="0" borderId="0" applyBorder="0" applyAlignment="0">
      <alignment horizontal="left"/>
    </xf>
    <xf numFmtId="0" fontId="5" fillId="0" borderId="1" applyNumberFormat="0" applyFill="0" applyBorder="0" applyAlignment="0"/>
    <xf numFmtId="0" fontId="6" fillId="0" borderId="1" applyNumberFormat="0" applyFill="0" applyBorder="0" applyAlignment="0">
      <alignment vertical="center"/>
    </xf>
    <xf numFmtId="0" fontId="7" fillId="0" borderId="0" applyNumberFormat="0" applyFill="0" applyBorder="0" applyAlignment="0"/>
    <xf numFmtId="0" fontId="8" fillId="0" borderId="0"/>
    <xf numFmtId="0" fontId="21" fillId="0" borderId="0" applyNumberFormat="0" applyFill="0" applyBorder="0" applyAlignment="0" applyProtection="0"/>
  </cellStyleXfs>
  <cellXfs count="17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vertical="center"/>
    </xf>
    <xf numFmtId="0" fontId="6" fillId="0" borderId="5" xfId="6" applyFont="1" applyBorder="1" applyAlignment="1">
      <alignment horizontal="center" vertical="center"/>
    </xf>
    <xf numFmtId="14" fontId="6" fillId="0" borderId="5" xfId="6" applyNumberFormat="1" applyFont="1" applyBorder="1" applyAlignment="1">
      <alignment horizontal="center" vertical="center"/>
    </xf>
    <xf numFmtId="0" fontId="6" fillId="0" borderId="6" xfId="6" applyFont="1" applyBorder="1" applyAlignment="1">
      <alignment horizontal="center" vertical="center"/>
    </xf>
    <xf numFmtId="0" fontId="6" fillId="0" borderId="5" xfId="6" applyFont="1" applyBorder="1" applyAlignment="1">
      <alignment vertical="center"/>
    </xf>
    <xf numFmtId="0" fontId="6" fillId="0" borderId="6" xfId="6" applyFont="1" applyBorder="1" applyAlignment="1">
      <alignment vertical="center"/>
    </xf>
    <xf numFmtId="14" fontId="6" fillId="0" borderId="7" xfId="6" applyNumberFormat="1" applyFont="1" applyBorder="1" applyAlignment="1">
      <alignment horizontal="center" vertical="center"/>
    </xf>
    <xf numFmtId="0" fontId="6" fillId="0" borderId="7" xfId="6" applyFont="1" applyBorder="1" applyAlignment="1">
      <alignment vertical="center"/>
    </xf>
    <xf numFmtId="0" fontId="6" fillId="0" borderId="8" xfId="6" applyFont="1" applyBorder="1" applyAlignment="1">
      <alignment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4" fillId="0" borderId="12" xfId="0" applyFont="1" applyBorder="1" applyAlignment="1">
      <alignment vertical="top"/>
    </xf>
    <xf numFmtId="0" fontId="14" fillId="0" borderId="14" xfId="0" applyFont="1" applyBorder="1" applyAlignment="1">
      <alignment vertical="top"/>
    </xf>
    <xf numFmtId="0" fontId="6" fillId="0" borderId="0" xfId="6" applyFont="1" applyAlignment="1">
      <alignment vertical="center"/>
    </xf>
    <xf numFmtId="0" fontId="21" fillId="0" borderId="0" xfId="7"/>
    <xf numFmtId="0" fontId="16" fillId="0" borderId="17" xfId="6" applyFont="1" applyBorder="1" applyAlignment="1">
      <alignment horizontal="center" vertical="center" wrapText="1"/>
    </xf>
    <xf numFmtId="0" fontId="16" fillId="0" borderId="3" xfId="6" applyFont="1" applyBorder="1" applyAlignment="1">
      <alignment horizontal="center" vertical="center" wrapText="1"/>
    </xf>
    <xf numFmtId="0" fontId="16" fillId="0" borderId="0" xfId="6" applyFont="1" applyAlignment="1">
      <alignment horizontal="left" vertical="center" wrapText="1"/>
    </xf>
    <xf numFmtId="0" fontId="17" fillId="0" borderId="11" xfId="6" applyFont="1" applyBorder="1" applyAlignment="1">
      <alignment horizontal="center" vertical="center" wrapText="1"/>
    </xf>
    <xf numFmtId="0" fontId="17" fillId="0" borderId="22" xfId="6" applyFont="1" applyBorder="1" applyAlignment="1">
      <alignment horizontal="center" vertical="center" wrapText="1"/>
    </xf>
    <xf numFmtId="0" fontId="17" fillId="0" borderId="40" xfId="6" applyFont="1" applyBorder="1" applyAlignment="1">
      <alignment horizontal="center" vertical="center" wrapText="1"/>
    </xf>
    <xf numFmtId="0" fontId="17" fillId="0" borderId="4" xfId="6" applyFont="1" applyBorder="1" applyAlignment="1">
      <alignment horizontal="center" vertical="center" wrapText="1"/>
    </xf>
    <xf numFmtId="0" fontId="17" fillId="0" borderId="7" xfId="6" applyFont="1" applyBorder="1" applyAlignment="1">
      <alignment horizontal="center" vertical="center" wrapText="1"/>
    </xf>
    <xf numFmtId="0" fontId="17" fillId="0" borderId="8" xfId="6" applyFont="1" applyBorder="1" applyAlignment="1">
      <alignment horizontal="center" vertical="center" wrapText="1"/>
    </xf>
    <xf numFmtId="0" fontId="6" fillId="0" borderId="41" xfId="6" applyFont="1" applyBorder="1" applyAlignment="1">
      <alignment horizontal="left" vertical="center"/>
    </xf>
    <xf numFmtId="0" fontId="6" fillId="0" borderId="15" xfId="6" applyFont="1" applyBorder="1" applyAlignment="1">
      <alignment horizontal="left" vertical="center"/>
    </xf>
    <xf numFmtId="0" fontId="6" fillId="0" borderId="42" xfId="6" applyFont="1" applyBorder="1" applyAlignment="1">
      <alignment horizontal="left" vertical="center"/>
    </xf>
    <xf numFmtId="0" fontId="6" fillId="0" borderId="43" xfId="6" applyFont="1" applyBorder="1" applyAlignment="1">
      <alignment horizontal="left" vertical="center"/>
    </xf>
    <xf numFmtId="0" fontId="6" fillId="0" borderId="44" xfId="6" applyFont="1" applyBorder="1" applyAlignment="1">
      <alignment horizontal="left" vertical="center"/>
    </xf>
    <xf numFmtId="0" fontId="6" fillId="0" borderId="45" xfId="6" applyFont="1" applyBorder="1" applyAlignment="1">
      <alignment horizontal="left" vertical="center"/>
    </xf>
    <xf numFmtId="49" fontId="2" fillId="0" borderId="13" xfId="6" applyNumberFormat="1" applyFont="1" applyBorder="1" applyAlignment="1">
      <alignment horizontal="center" vertical="center"/>
    </xf>
    <xf numFmtId="49" fontId="2" fillId="0" borderId="19" xfId="6" applyNumberFormat="1" applyFont="1" applyBorder="1" applyAlignment="1">
      <alignment horizontal="center" vertical="center"/>
    </xf>
    <xf numFmtId="49" fontId="2" fillId="0" borderId="62" xfId="6" applyNumberFormat="1" applyFont="1" applyBorder="1" applyAlignment="1">
      <alignment horizontal="center" vertical="center"/>
    </xf>
    <xf numFmtId="49" fontId="2" fillId="0" borderId="23" xfId="6" applyNumberFormat="1" applyFont="1" applyBorder="1" applyAlignment="1">
      <alignment horizontal="center" vertical="center"/>
    </xf>
    <xf numFmtId="49" fontId="2" fillId="0" borderId="0" xfId="6" applyNumberFormat="1" applyFont="1" applyAlignment="1">
      <alignment horizontal="center" vertical="center"/>
    </xf>
    <xf numFmtId="49" fontId="2" fillId="0" borderId="31" xfId="6" applyNumberFormat="1" applyFont="1" applyBorder="1" applyAlignment="1">
      <alignment horizontal="center" vertical="center"/>
    </xf>
    <xf numFmtId="49" fontId="20" fillId="0" borderId="13" xfId="6" applyNumberFormat="1" applyFont="1" applyBorder="1" applyAlignment="1">
      <alignment horizontal="left" vertical="top"/>
    </xf>
    <xf numFmtId="49" fontId="2" fillId="0" borderId="57" xfId="6" applyNumberFormat="1" applyFont="1" applyBorder="1" applyAlignment="1">
      <alignment horizontal="left" vertical="top"/>
    </xf>
    <xf numFmtId="0" fontId="6" fillId="0" borderId="18" xfId="6" applyFont="1" applyBorder="1" applyAlignment="1">
      <alignment horizontal="center" vertical="center"/>
    </xf>
    <xf numFmtId="0" fontId="6" fillId="0" borderId="19" xfId="6" applyFont="1" applyBorder="1" applyAlignment="1">
      <alignment horizontal="center" vertical="center"/>
    </xf>
    <xf numFmtId="0" fontId="6" fillId="0" borderId="3" xfId="6" applyFont="1" applyBorder="1" applyAlignment="1">
      <alignment horizontal="center" vertical="center"/>
    </xf>
    <xf numFmtId="0" fontId="6" fillId="0" borderId="0" xfId="6" applyFont="1" applyAlignment="1">
      <alignment horizontal="center" vertical="center"/>
    </xf>
    <xf numFmtId="0" fontId="6" fillId="0" borderId="20" xfId="6" applyFont="1" applyBorder="1" applyAlignment="1">
      <alignment horizontal="center" vertical="center"/>
    </xf>
    <xf numFmtId="0" fontId="6" fillId="0" borderId="21" xfId="6" applyFont="1" applyBorder="1" applyAlignment="1">
      <alignment horizontal="center" vertical="center"/>
    </xf>
    <xf numFmtId="49" fontId="6" fillId="0" borderId="14" xfId="6" applyNumberFormat="1" applyFont="1" applyBorder="1" applyAlignment="1">
      <alignment horizontal="left" vertical="top" wrapText="1"/>
    </xf>
    <xf numFmtId="49" fontId="6" fillId="0" borderId="14" xfId="6" applyNumberFormat="1" applyFont="1" applyBorder="1" applyAlignment="1">
      <alignment horizontal="left" vertical="top"/>
    </xf>
    <xf numFmtId="0" fontId="8" fillId="0" borderId="26" xfId="6" applyBorder="1" applyAlignment="1">
      <alignment horizontal="center" vertical="center"/>
    </xf>
    <xf numFmtId="0" fontId="8" fillId="0" borderId="27" xfId="6" applyBorder="1" applyAlignment="1">
      <alignment horizontal="center" vertical="center"/>
    </xf>
    <xf numFmtId="0" fontId="8" fillId="0" borderId="1" xfId="6" applyBorder="1" applyAlignment="1">
      <alignment horizontal="center" vertical="center"/>
    </xf>
    <xf numFmtId="0" fontId="8" fillId="0" borderId="25" xfId="6" applyBorder="1" applyAlignment="1">
      <alignment horizontal="center" vertical="center"/>
    </xf>
    <xf numFmtId="0" fontId="6" fillId="0" borderId="28" xfId="6" applyFont="1" applyBorder="1" applyAlignment="1">
      <alignment horizontal="center" vertical="center"/>
    </xf>
    <xf numFmtId="0" fontId="6" fillId="0" borderId="29" xfId="6" applyFont="1" applyBorder="1" applyAlignment="1">
      <alignment horizontal="center" vertical="center"/>
    </xf>
    <xf numFmtId="0" fontId="6" fillId="0" borderId="30" xfId="6" applyFont="1" applyBorder="1" applyAlignment="1">
      <alignment horizontal="center" vertical="center"/>
    </xf>
    <xf numFmtId="0" fontId="6" fillId="0" borderId="31" xfId="6" applyFont="1" applyBorder="1" applyAlignment="1">
      <alignment horizontal="center" vertical="center"/>
    </xf>
    <xf numFmtId="0" fontId="6" fillId="0" borderId="32" xfId="6" applyFont="1" applyBorder="1" applyAlignment="1">
      <alignment horizontal="center" vertical="center"/>
    </xf>
    <xf numFmtId="0" fontId="8" fillId="0" borderId="0" xfId="6" applyAlignment="1">
      <alignment horizontal="center" vertical="center"/>
    </xf>
    <xf numFmtId="0" fontId="8" fillId="0" borderId="17" xfId="6" applyBorder="1" applyAlignment="1">
      <alignment horizontal="center" vertical="center"/>
    </xf>
    <xf numFmtId="49" fontId="8" fillId="0" borderId="26" xfId="6" applyNumberFormat="1" applyBorder="1" applyAlignment="1">
      <alignment horizontal="center" vertical="center"/>
    </xf>
    <xf numFmtId="49" fontId="8" fillId="0" borderId="27" xfId="6" applyNumberFormat="1" applyBorder="1" applyAlignment="1">
      <alignment horizontal="center" vertical="center"/>
    </xf>
    <xf numFmtId="49" fontId="8" fillId="0" borderId="1" xfId="6" applyNumberFormat="1" applyBorder="1" applyAlignment="1">
      <alignment horizontal="center" vertical="center"/>
    </xf>
    <xf numFmtId="49" fontId="8" fillId="0" borderId="25" xfId="6" applyNumberFormat="1" applyBorder="1" applyAlignment="1">
      <alignment horizontal="center" vertical="center"/>
    </xf>
    <xf numFmtId="0" fontId="6" fillId="0" borderId="0" xfId="6" applyFont="1" applyAlignment="1">
      <alignment vertical="center"/>
    </xf>
    <xf numFmtId="0" fontId="19" fillId="0" borderId="18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24" xfId="6" applyFont="1" applyBorder="1" applyAlignment="1">
      <alignment horizontal="left" vertical="center" wrapText="1"/>
    </xf>
    <xf numFmtId="0" fontId="19" fillId="0" borderId="0" xfId="6" applyFont="1" applyAlignment="1">
      <alignment horizontal="left" vertical="center" wrapText="1"/>
    </xf>
    <xf numFmtId="0" fontId="19" fillId="0" borderId="17" xfId="6" applyFont="1" applyBorder="1" applyAlignment="1">
      <alignment horizontal="left" vertical="center" wrapText="1"/>
    </xf>
    <xf numFmtId="0" fontId="8" fillId="0" borderId="19" xfId="6" applyBorder="1" applyAlignment="1">
      <alignment horizontal="center" vertical="center"/>
    </xf>
    <xf numFmtId="0" fontId="8" fillId="0" borderId="24" xfId="6" applyBorder="1" applyAlignment="1">
      <alignment horizontal="center" vertical="center"/>
    </xf>
    <xf numFmtId="49" fontId="10" fillId="0" borderId="28" xfId="6" applyNumberFormat="1" applyFont="1" applyBorder="1" applyAlignment="1">
      <alignment horizontal="center" vertical="center" wrapText="1"/>
    </xf>
    <xf numFmtId="49" fontId="10" fillId="0" borderId="29" xfId="6" applyNumberFormat="1" applyFont="1" applyBorder="1" applyAlignment="1">
      <alignment horizontal="center" vertical="center" wrapText="1"/>
    </xf>
    <xf numFmtId="49" fontId="10" fillId="0" borderId="30" xfId="6" applyNumberFormat="1" applyFont="1" applyBorder="1" applyAlignment="1">
      <alignment horizontal="center" vertical="center" wrapText="1"/>
    </xf>
    <xf numFmtId="49" fontId="10" fillId="0" borderId="33" xfId="6" applyNumberFormat="1" applyFont="1" applyBorder="1" applyAlignment="1">
      <alignment horizontal="center" vertical="center" wrapText="1"/>
    </xf>
    <xf numFmtId="49" fontId="10" fillId="0" borderId="34" xfId="6" applyNumberFormat="1" applyFont="1" applyBorder="1" applyAlignment="1">
      <alignment horizontal="center" vertical="center" wrapText="1"/>
    </xf>
    <xf numFmtId="49" fontId="10" fillId="0" borderId="35" xfId="6" applyNumberFormat="1" applyFont="1" applyBorder="1" applyAlignment="1">
      <alignment horizontal="center" vertical="center" wrapText="1"/>
    </xf>
    <xf numFmtId="49" fontId="6" fillId="0" borderId="36" xfId="6" applyNumberFormat="1" applyFont="1" applyBorder="1" applyAlignment="1">
      <alignment horizontal="left" vertical="top"/>
    </xf>
    <xf numFmtId="49" fontId="11" fillId="0" borderId="0" xfId="6" applyNumberFormat="1" applyFont="1" applyAlignment="1">
      <alignment horizontal="center" vertical="center"/>
    </xf>
    <xf numFmtId="49" fontId="11" fillId="0" borderId="17" xfId="6" applyNumberFormat="1" applyFont="1" applyBorder="1" applyAlignment="1">
      <alignment horizontal="center" vertical="center"/>
    </xf>
    <xf numFmtId="49" fontId="11" fillId="0" borderId="34" xfId="6" applyNumberFormat="1" applyFont="1" applyBorder="1" applyAlignment="1">
      <alignment horizontal="center" vertical="center"/>
    </xf>
    <xf numFmtId="49" fontId="11" fillId="0" borderId="37" xfId="6" applyNumberFormat="1" applyFont="1" applyBorder="1" applyAlignment="1">
      <alignment horizontal="center" vertical="center"/>
    </xf>
    <xf numFmtId="49" fontId="17" fillId="0" borderId="18" xfId="6" applyNumberFormat="1" applyFont="1" applyBorder="1" applyAlignment="1">
      <alignment horizontal="center" vertical="center" wrapText="1"/>
    </xf>
    <xf numFmtId="49" fontId="17" fillId="0" borderId="19" xfId="6" applyNumberFormat="1" applyFont="1" applyBorder="1" applyAlignment="1">
      <alignment horizontal="center" vertical="center" wrapText="1"/>
    </xf>
    <xf numFmtId="49" fontId="17" fillId="0" borderId="24" xfId="6" applyNumberFormat="1" applyFont="1" applyBorder="1" applyAlignment="1">
      <alignment horizontal="center" vertical="center" wrapText="1"/>
    </xf>
    <xf numFmtId="49" fontId="17" fillId="0" borderId="33" xfId="6" applyNumberFormat="1" applyFont="1" applyBorder="1" applyAlignment="1">
      <alignment horizontal="center" vertical="center" wrapText="1"/>
    </xf>
    <xf numFmtId="49" fontId="17" fillId="0" borderId="34" xfId="6" applyNumberFormat="1" applyFont="1" applyBorder="1" applyAlignment="1">
      <alignment horizontal="center" vertical="center" wrapText="1"/>
    </xf>
    <xf numFmtId="49" fontId="17" fillId="0" borderId="37" xfId="6" applyNumberFormat="1" applyFont="1" applyBorder="1" applyAlignment="1">
      <alignment horizontal="center" vertical="center" wrapText="1"/>
    </xf>
    <xf numFmtId="49" fontId="18" fillId="0" borderId="10" xfId="6" applyNumberFormat="1" applyFont="1" applyBorder="1" applyAlignment="1">
      <alignment horizontal="center" vertical="center" wrapText="1"/>
    </xf>
    <xf numFmtId="49" fontId="18" fillId="0" borderId="4" xfId="6" applyNumberFormat="1" applyFont="1" applyBorder="1" applyAlignment="1">
      <alignment horizontal="center" vertical="center" wrapText="1"/>
    </xf>
    <xf numFmtId="49" fontId="18" fillId="0" borderId="38" xfId="6" applyNumberFormat="1" applyFont="1" applyBorder="1" applyAlignment="1">
      <alignment horizontal="center" vertical="center" wrapText="1"/>
    </xf>
    <xf numFmtId="49" fontId="18" fillId="0" borderId="39" xfId="6" applyNumberFormat="1" applyFont="1" applyBorder="1" applyAlignment="1">
      <alignment horizontal="center" vertical="center" wrapText="1"/>
    </xf>
    <xf numFmtId="49" fontId="18" fillId="0" borderId="7" xfId="6" applyNumberFormat="1" applyFont="1" applyBorder="1" applyAlignment="1">
      <alignment horizontal="center" vertical="center" wrapText="1"/>
    </xf>
    <xf numFmtId="49" fontId="18" fillId="0" borderId="8" xfId="6" applyNumberFormat="1" applyFont="1" applyBorder="1" applyAlignment="1">
      <alignment horizontal="center" vertical="center" wrapText="1"/>
    </xf>
    <xf numFmtId="0" fontId="8" fillId="3" borderId="33" xfId="0" applyFont="1" applyFill="1" applyBorder="1" applyAlignment="1">
      <alignment horizontal="left" vertical="center"/>
    </xf>
    <xf numFmtId="0" fontId="8" fillId="3" borderId="34" xfId="0" applyFont="1" applyFill="1" applyBorder="1" applyAlignment="1">
      <alignment horizontal="left" vertical="center"/>
    </xf>
    <xf numFmtId="0" fontId="8" fillId="3" borderId="37" xfId="0" applyFont="1" applyFill="1" applyBorder="1" applyAlignment="1">
      <alignment horizontal="left" vertical="center"/>
    </xf>
    <xf numFmtId="0" fontId="0" fillId="0" borderId="4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52" xfId="0" applyBorder="1" applyAlignment="1">
      <alignment horizontal="center"/>
    </xf>
    <xf numFmtId="0" fontId="2" fillId="0" borderId="58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61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0" fillId="3" borderId="49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8" fillId="0" borderId="51" xfId="0" applyFont="1" applyBorder="1" applyAlignment="1">
      <alignment horizont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8" fillId="3" borderId="23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0" borderId="18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</cellXfs>
  <cellStyles count="8">
    <cellStyle name="Data" xfId="1" xr:uid="{00000000-0005-0000-0000-000000000000}"/>
    <cellStyle name="field" xfId="2" xr:uid="{00000000-0005-0000-0000-000001000000}"/>
    <cellStyle name="HAND" xfId="3" xr:uid="{00000000-0005-0000-0000-000002000000}"/>
    <cellStyle name="Hiperlink" xfId="7" builtinId="8"/>
    <cellStyle name="Item" xfId="4" xr:uid="{00000000-0005-0000-0000-000003000000}"/>
    <cellStyle name="Main" xfId="5" xr:uid="{00000000-0005-0000-0000-000004000000}"/>
    <cellStyle name="Normal" xfId="0" builtinId="0"/>
    <cellStyle name="Normal 3 2" xfId="6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0/07/relationships/rdRichValueWebImage" Target="richData/rdRichValueWebImage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5" Type="http://schemas.openxmlformats.org/officeDocument/2006/relationships/customXml" Target="../customXml/item2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483704</xdr:colOff>
      <xdr:row>15</xdr:row>
      <xdr:rowOff>13252</xdr:rowOff>
    </xdr:from>
    <xdr:to>
      <xdr:col>21</xdr:col>
      <xdr:colOff>130629</xdr:colOff>
      <xdr:row>22</xdr:row>
      <xdr:rowOff>72886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532D87C-D225-4861-B5CD-3C57586F7F49}"/>
            </a:ext>
          </a:extLst>
        </xdr:cNvPr>
        <xdr:cNvSpPr/>
      </xdr:nvSpPr>
      <xdr:spPr bwMode="auto">
        <a:xfrm>
          <a:off x="10854524" y="1826812"/>
          <a:ext cx="1452865" cy="11264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470453</xdr:colOff>
      <xdr:row>6</xdr:row>
      <xdr:rowOff>13252</xdr:rowOff>
    </xdr:from>
    <xdr:to>
      <xdr:col>21</xdr:col>
      <xdr:colOff>130630</xdr:colOff>
      <xdr:row>13</xdr:row>
      <xdr:rowOff>106017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7303E710-E4DE-4DE1-9910-89E2FC3C3382}"/>
            </a:ext>
          </a:extLst>
        </xdr:cNvPr>
        <xdr:cNvSpPr/>
      </xdr:nvSpPr>
      <xdr:spPr bwMode="auto">
        <a:xfrm>
          <a:off x="10841273" y="455212"/>
          <a:ext cx="1466117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185530</xdr:colOff>
      <xdr:row>15</xdr:row>
      <xdr:rowOff>19878</xdr:rowOff>
    </xdr:from>
    <xdr:to>
      <xdr:col>18</xdr:col>
      <xdr:colOff>225287</xdr:colOff>
      <xdr:row>22</xdr:row>
      <xdr:rowOff>79512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A840013-48CA-44D4-8002-ED588E868CCC}"/>
            </a:ext>
          </a:extLst>
        </xdr:cNvPr>
        <xdr:cNvSpPr/>
      </xdr:nvSpPr>
      <xdr:spPr bwMode="auto">
        <a:xfrm>
          <a:off x="9352390" y="1833438"/>
          <a:ext cx="1243717" cy="11264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192157</xdr:colOff>
      <xdr:row>6</xdr:row>
      <xdr:rowOff>13252</xdr:rowOff>
    </xdr:from>
    <xdr:to>
      <xdr:col>18</xdr:col>
      <xdr:colOff>231914</xdr:colOff>
      <xdr:row>13</xdr:row>
      <xdr:rowOff>106017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10CDB1D-F88C-4074-8623-826A044A2AB0}"/>
            </a:ext>
          </a:extLst>
        </xdr:cNvPr>
        <xdr:cNvSpPr/>
      </xdr:nvSpPr>
      <xdr:spPr bwMode="auto">
        <a:xfrm>
          <a:off x="9359017" y="455212"/>
          <a:ext cx="1243717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218662</xdr:colOff>
      <xdr:row>7</xdr:row>
      <xdr:rowOff>93223</xdr:rowOff>
    </xdr:from>
    <xdr:to>
      <xdr:col>20</xdr:col>
      <xdr:colOff>514186</xdr:colOff>
      <xdr:row>13</xdr:row>
      <xdr:rowOff>26505</xdr:rowOff>
    </xdr:to>
    <xdr:pic macro="[0]!VincularImagens">
      <xdr:nvPicPr>
        <xdr:cNvPr id="6" name="Gráfico 5" descr="Computação em Nuvem estrutura de tópicos">
          <a:extLst>
            <a:ext uri="{FF2B5EF4-FFF2-40B4-BE49-F238E27FC236}">
              <a16:creationId xmlns:a16="http://schemas.microsoft.com/office/drawing/2014/main" id="{5CD91032-F1BA-4A34-B40C-B3C904174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191462" y="687583"/>
          <a:ext cx="859404" cy="847682"/>
        </a:xfrm>
        <a:prstGeom prst="rect">
          <a:avLst/>
        </a:prstGeom>
      </xdr:spPr>
    </xdr:pic>
    <xdr:clientData/>
  </xdr:twoCellAnchor>
  <xdr:twoCellAnchor editAs="oneCell">
    <xdr:from>
      <xdr:col>16</xdr:col>
      <xdr:colOff>265485</xdr:colOff>
      <xdr:row>16</xdr:row>
      <xdr:rowOff>58641</xdr:rowOff>
    </xdr:from>
    <xdr:to>
      <xdr:col>18</xdr:col>
      <xdr:colOff>66181</xdr:colOff>
      <xdr:row>21</xdr:row>
      <xdr:rowOff>150994</xdr:rowOff>
    </xdr:to>
    <xdr:pic macro="[0]!ExportarPDF">
      <xdr:nvPicPr>
        <xdr:cNvPr id="7" name="Gráfico 6" descr="Impressora com preenchimento sólido">
          <a:extLst>
            <a:ext uri="{FF2B5EF4-FFF2-40B4-BE49-F238E27FC236}">
              <a16:creationId xmlns:a16="http://schemas.microsoft.com/office/drawing/2014/main" id="{32B2C545-52A1-4E20-97FC-007564B87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432345" y="2024601"/>
          <a:ext cx="928456" cy="854353"/>
        </a:xfrm>
        <a:prstGeom prst="rect">
          <a:avLst/>
        </a:prstGeom>
      </xdr:spPr>
    </xdr:pic>
    <xdr:clientData/>
  </xdr:twoCellAnchor>
  <xdr:twoCellAnchor editAs="oneCell">
    <xdr:from>
      <xdr:col>19</xdr:col>
      <xdr:colOff>144874</xdr:colOff>
      <xdr:row>16</xdr:row>
      <xdr:rowOff>65029</xdr:rowOff>
    </xdr:from>
    <xdr:to>
      <xdr:col>20</xdr:col>
      <xdr:colOff>495063</xdr:colOff>
      <xdr:row>22</xdr:row>
      <xdr:rowOff>53102</xdr:rowOff>
    </xdr:to>
    <xdr:pic macro="[0]!AreaDeImpressaoCapa">
      <xdr:nvPicPr>
        <xdr:cNvPr id="8" name="Gráfico 7" descr="Impressora estrutura de tópicos">
          <a:extLst>
            <a:ext uri="{FF2B5EF4-FFF2-40B4-BE49-F238E27FC236}">
              <a16:creationId xmlns:a16="http://schemas.microsoft.com/office/drawing/2014/main" id="{8DF83B53-EF7D-436A-B86B-0EC2CD2B3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117674" y="2030989"/>
          <a:ext cx="914069" cy="902473"/>
        </a:xfrm>
        <a:prstGeom prst="rect">
          <a:avLst/>
        </a:prstGeom>
      </xdr:spPr>
    </xdr:pic>
    <xdr:clientData/>
  </xdr:twoCellAnchor>
  <xdr:twoCellAnchor editAs="oneCell">
    <xdr:from>
      <xdr:col>16</xdr:col>
      <xdr:colOff>270013</xdr:colOff>
      <xdr:row>7</xdr:row>
      <xdr:rowOff>97072</xdr:rowOff>
    </xdr:from>
    <xdr:to>
      <xdr:col>18</xdr:col>
      <xdr:colOff>54334</xdr:colOff>
      <xdr:row>13</xdr:row>
      <xdr:rowOff>85145</xdr:rowOff>
    </xdr:to>
    <xdr:pic macro="[0]!CaputarLogos">
      <xdr:nvPicPr>
        <xdr:cNvPr id="9" name="Gráfico 8" descr="Imagens com preenchimento sólido">
          <a:extLst>
            <a:ext uri="{FF2B5EF4-FFF2-40B4-BE49-F238E27FC236}">
              <a16:creationId xmlns:a16="http://schemas.microsoft.com/office/drawing/2014/main" id="{5D055A0E-59CB-41C5-B67C-6C495240D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436873" y="691432"/>
          <a:ext cx="912081" cy="902473"/>
        </a:xfrm>
        <a:prstGeom prst="rect">
          <a:avLst/>
        </a:prstGeom>
      </xdr:spPr>
    </xdr:pic>
    <xdr:clientData/>
  </xdr:twoCellAnchor>
  <xdr:oneCellAnchor>
    <xdr:from>
      <xdr:col>18</xdr:col>
      <xdr:colOff>459045</xdr:colOff>
      <xdr:row>6</xdr:row>
      <xdr:rowOff>1987</xdr:rowOff>
    </xdr:from>
    <xdr:ext cx="1424941" cy="26936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CC1D06C1-E32F-4199-B608-F5CBBD977575}"/>
            </a:ext>
          </a:extLst>
        </xdr:cNvPr>
        <xdr:cNvSpPr/>
      </xdr:nvSpPr>
      <xdr:spPr>
        <a:xfrm>
          <a:off x="10829865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40146</xdr:colOff>
      <xdr:row>6</xdr:row>
      <xdr:rowOff>6626</xdr:rowOff>
    </xdr:from>
    <xdr:ext cx="1424941" cy="269369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49A377B1-F725-4E29-9DDB-94A56F9ABB6F}"/>
            </a:ext>
          </a:extLst>
        </xdr:cNvPr>
        <xdr:cNvSpPr/>
      </xdr:nvSpPr>
      <xdr:spPr>
        <a:xfrm>
          <a:off x="9207006" y="448586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16</xdr:col>
      <xdr:colOff>42739</xdr:colOff>
      <xdr:row>15</xdr:row>
      <xdr:rowOff>13252</xdr:rowOff>
    </xdr:from>
    <xdr:ext cx="1424941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47802E9B-E055-4A18-80B9-B4A109FC9073}"/>
            </a:ext>
          </a:extLst>
        </xdr:cNvPr>
        <xdr:cNvSpPr/>
      </xdr:nvSpPr>
      <xdr:spPr>
        <a:xfrm>
          <a:off x="9209599" y="18268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oneCellAnchor>
    <xdr:from>
      <xdr:col>18</xdr:col>
      <xdr:colOff>449343</xdr:colOff>
      <xdr:row>15</xdr:row>
      <xdr:rowOff>6626</xdr:rowOff>
    </xdr:from>
    <xdr:ext cx="1516380" cy="269369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714C1CBF-DAFF-47E7-A561-5719E86458E8}"/>
            </a:ext>
          </a:extLst>
        </xdr:cNvPr>
        <xdr:cNvSpPr/>
      </xdr:nvSpPr>
      <xdr:spPr>
        <a:xfrm>
          <a:off x="10820163" y="1820186"/>
          <a:ext cx="1516380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Área de impressão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</xdr:row>
      <xdr:rowOff>160020</xdr:rowOff>
    </xdr:from>
    <xdr:to>
      <xdr:col>18</xdr:col>
      <xdr:colOff>0</xdr:colOff>
      <xdr:row>2</xdr:row>
      <xdr:rowOff>160020</xdr:rowOff>
    </xdr:to>
    <xdr:sp macro="" textlink="">
      <xdr:nvSpPr>
        <xdr:cNvPr id="66365" name="Line 1">
          <a:extLst>
            <a:ext uri="{FF2B5EF4-FFF2-40B4-BE49-F238E27FC236}">
              <a16:creationId xmlns:a16="http://schemas.microsoft.com/office/drawing/2014/main" id="{946734F7-B0E5-D516-FE24-FD2ACC8973B5}"/>
            </a:ext>
          </a:extLst>
        </xdr:cNvPr>
        <xdr:cNvSpPr>
          <a:spLocks noChangeShapeType="1"/>
        </xdr:cNvSpPr>
      </xdr:nvSpPr>
      <xdr:spPr bwMode="auto">
        <a:xfrm>
          <a:off x="7863840" y="51054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3</xdr:row>
      <xdr:rowOff>152400</xdr:rowOff>
    </xdr:from>
    <xdr:to>
      <xdr:col>18</xdr:col>
      <xdr:colOff>0</xdr:colOff>
      <xdr:row>3</xdr:row>
      <xdr:rowOff>152400</xdr:rowOff>
    </xdr:to>
    <xdr:sp macro="" textlink="">
      <xdr:nvSpPr>
        <xdr:cNvPr id="66366" name="Line 2">
          <a:extLst>
            <a:ext uri="{FF2B5EF4-FFF2-40B4-BE49-F238E27FC236}">
              <a16:creationId xmlns:a16="http://schemas.microsoft.com/office/drawing/2014/main" id="{BD6AB6C8-1A9A-CDAF-C5B5-27C2467E0579}"/>
            </a:ext>
          </a:extLst>
        </xdr:cNvPr>
        <xdr:cNvSpPr>
          <a:spLocks noChangeShapeType="1"/>
        </xdr:cNvSpPr>
      </xdr:nvSpPr>
      <xdr:spPr bwMode="auto">
        <a:xfrm>
          <a:off x="7863840" y="67818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66367" name="Line 3">
          <a:extLst>
            <a:ext uri="{FF2B5EF4-FFF2-40B4-BE49-F238E27FC236}">
              <a16:creationId xmlns:a16="http://schemas.microsoft.com/office/drawing/2014/main" id="{2F3933AA-8C24-9523-39EA-DBB0E77202B8}"/>
            </a:ext>
          </a:extLst>
        </xdr:cNvPr>
        <xdr:cNvSpPr>
          <a:spLocks noChangeShapeType="1"/>
        </xdr:cNvSpPr>
      </xdr:nvSpPr>
      <xdr:spPr bwMode="auto">
        <a:xfrm>
          <a:off x="7863840" y="3505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66368" name="Line 4">
          <a:extLst>
            <a:ext uri="{FF2B5EF4-FFF2-40B4-BE49-F238E27FC236}">
              <a16:creationId xmlns:a16="http://schemas.microsoft.com/office/drawing/2014/main" id="{6A15CEC7-D614-D807-DF8D-36E4306F226C}"/>
            </a:ext>
          </a:extLst>
        </xdr:cNvPr>
        <xdr:cNvSpPr>
          <a:spLocks noChangeShapeType="1"/>
        </xdr:cNvSpPr>
      </xdr:nvSpPr>
      <xdr:spPr bwMode="auto">
        <a:xfrm>
          <a:off x="7863840" y="3505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66369" name="Line 5">
          <a:extLst>
            <a:ext uri="{FF2B5EF4-FFF2-40B4-BE49-F238E27FC236}">
              <a16:creationId xmlns:a16="http://schemas.microsoft.com/office/drawing/2014/main" id="{360C9109-EF51-D004-86CD-6DAB2051A0EE}"/>
            </a:ext>
          </a:extLst>
        </xdr:cNvPr>
        <xdr:cNvSpPr>
          <a:spLocks noChangeShapeType="1"/>
        </xdr:cNvSpPr>
      </xdr:nvSpPr>
      <xdr:spPr bwMode="auto">
        <a:xfrm>
          <a:off x="7863840" y="3505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</xdr:row>
      <xdr:rowOff>152400</xdr:rowOff>
    </xdr:from>
    <xdr:to>
      <xdr:col>18</xdr:col>
      <xdr:colOff>0</xdr:colOff>
      <xdr:row>2</xdr:row>
      <xdr:rowOff>152400</xdr:rowOff>
    </xdr:to>
    <xdr:sp macro="" textlink="">
      <xdr:nvSpPr>
        <xdr:cNvPr id="66370" name="Line 6">
          <a:extLst>
            <a:ext uri="{FF2B5EF4-FFF2-40B4-BE49-F238E27FC236}">
              <a16:creationId xmlns:a16="http://schemas.microsoft.com/office/drawing/2014/main" id="{D0FC3F9C-8057-25A2-C71F-8258BA12A194}"/>
            </a:ext>
          </a:extLst>
        </xdr:cNvPr>
        <xdr:cNvSpPr>
          <a:spLocks noChangeShapeType="1"/>
        </xdr:cNvSpPr>
      </xdr:nvSpPr>
      <xdr:spPr bwMode="auto">
        <a:xfrm>
          <a:off x="7863840" y="50292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3</xdr:row>
      <xdr:rowOff>152400</xdr:rowOff>
    </xdr:from>
    <xdr:to>
      <xdr:col>18</xdr:col>
      <xdr:colOff>0</xdr:colOff>
      <xdr:row>3</xdr:row>
      <xdr:rowOff>152400</xdr:rowOff>
    </xdr:to>
    <xdr:sp macro="" textlink="">
      <xdr:nvSpPr>
        <xdr:cNvPr id="66371" name="Line 7">
          <a:extLst>
            <a:ext uri="{FF2B5EF4-FFF2-40B4-BE49-F238E27FC236}">
              <a16:creationId xmlns:a16="http://schemas.microsoft.com/office/drawing/2014/main" id="{A6650C53-7C54-B5AF-0930-848FDC343284}"/>
            </a:ext>
          </a:extLst>
        </xdr:cNvPr>
        <xdr:cNvSpPr>
          <a:spLocks noChangeShapeType="1"/>
        </xdr:cNvSpPr>
      </xdr:nvSpPr>
      <xdr:spPr bwMode="auto">
        <a:xfrm>
          <a:off x="7863840" y="67818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470453</xdr:colOff>
      <xdr:row>6</xdr:row>
      <xdr:rowOff>13252</xdr:rowOff>
    </xdr:from>
    <xdr:to>
      <xdr:col>25</xdr:col>
      <xdr:colOff>130630</xdr:colOff>
      <xdr:row>13</xdr:row>
      <xdr:rowOff>106017</xdr:rowOff>
    </xdr:to>
    <xdr:sp macro="[0]!VincularImagens" textlink="">
      <xdr:nvSpPr>
        <xdr:cNvPr id="3" name="Retângulo 2">
          <a:extLst>
            <a:ext uri="{FF2B5EF4-FFF2-40B4-BE49-F238E27FC236}">
              <a16:creationId xmlns:a16="http://schemas.microsoft.com/office/drawing/2014/main" id="{4E5692C8-4D69-4D9C-9620-528F570FCBBA}"/>
            </a:ext>
          </a:extLst>
        </xdr:cNvPr>
        <xdr:cNvSpPr/>
      </xdr:nvSpPr>
      <xdr:spPr bwMode="auto">
        <a:xfrm>
          <a:off x="10620293" y="927652"/>
          <a:ext cx="1351817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355859</xdr:colOff>
      <xdr:row>14</xdr:row>
      <xdr:rowOff>172278</xdr:rowOff>
    </xdr:from>
    <xdr:to>
      <xdr:col>23</xdr:col>
      <xdr:colOff>395616</xdr:colOff>
      <xdr:row>22</xdr:row>
      <xdr:rowOff>52618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B7EA5091-A5E6-4599-8B2E-2FF8F174EC18}"/>
            </a:ext>
          </a:extLst>
        </xdr:cNvPr>
        <xdr:cNvSpPr/>
      </xdr:nvSpPr>
      <xdr:spPr bwMode="auto">
        <a:xfrm>
          <a:off x="9706047" y="2601713"/>
          <a:ext cx="1258957" cy="126090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192157</xdr:colOff>
      <xdr:row>6</xdr:row>
      <xdr:rowOff>13252</xdr:rowOff>
    </xdr:from>
    <xdr:to>
      <xdr:col>22</xdr:col>
      <xdr:colOff>231914</xdr:colOff>
      <xdr:row>13</xdr:row>
      <xdr:rowOff>106017</xdr:rowOff>
    </xdr:to>
    <xdr:sp macro="[0]!CaputarLogos" textlink="">
      <xdr:nvSpPr>
        <xdr:cNvPr id="5" name="Retângulo 4">
          <a:extLst>
            <a:ext uri="{FF2B5EF4-FFF2-40B4-BE49-F238E27FC236}">
              <a16:creationId xmlns:a16="http://schemas.microsoft.com/office/drawing/2014/main" id="{30924A78-3C65-4F3B-8687-DECB368961D1}"/>
            </a:ext>
          </a:extLst>
        </xdr:cNvPr>
        <xdr:cNvSpPr/>
      </xdr:nvSpPr>
      <xdr:spPr bwMode="auto">
        <a:xfrm>
          <a:off x="9214237" y="927652"/>
          <a:ext cx="1167517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23</xdr:col>
      <xdr:colOff>155909</xdr:colOff>
      <xdr:row>7</xdr:row>
      <xdr:rowOff>93223</xdr:rowOff>
    </xdr:from>
    <xdr:to>
      <xdr:col>24</xdr:col>
      <xdr:colOff>405713</xdr:colOff>
      <xdr:row>12</xdr:row>
      <xdr:rowOff>102705</xdr:rowOff>
    </xdr:to>
    <xdr:pic macro="[0]!VincularImagens">
      <xdr:nvPicPr>
        <xdr:cNvPr id="6" name="Gráfico 5" descr="Computação em Nuvem estrutura de tópicos">
          <a:extLst>
            <a:ext uri="{FF2B5EF4-FFF2-40B4-BE49-F238E27FC236}">
              <a16:creationId xmlns:a16="http://schemas.microsoft.com/office/drawing/2014/main" id="{CF66D120-49D9-41D6-A9E5-63E9F2B6C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725297" y="1330352"/>
          <a:ext cx="859404" cy="861129"/>
        </a:xfrm>
        <a:prstGeom prst="rect">
          <a:avLst/>
        </a:prstGeom>
      </xdr:spPr>
    </xdr:pic>
    <xdr:clientData/>
  </xdr:twoCellAnchor>
  <xdr:twoCellAnchor editAs="oneCell">
    <xdr:from>
      <xdr:col>21</xdr:col>
      <xdr:colOff>525461</xdr:colOff>
      <xdr:row>16</xdr:row>
      <xdr:rowOff>139323</xdr:rowOff>
    </xdr:from>
    <xdr:to>
      <xdr:col>23</xdr:col>
      <xdr:colOff>234717</xdr:colOff>
      <xdr:row>21</xdr:row>
      <xdr:rowOff>155476</xdr:rowOff>
    </xdr:to>
    <xdr:pic macro="[0]!ExportarPDF">
      <xdr:nvPicPr>
        <xdr:cNvPr id="7" name="Gráfico 6" descr="Impressora com preenchimento sólido">
          <a:extLst>
            <a:ext uri="{FF2B5EF4-FFF2-40B4-BE49-F238E27FC236}">
              <a16:creationId xmlns:a16="http://schemas.microsoft.com/office/drawing/2014/main" id="{826E9263-1CB9-4B42-8C25-4EBFC1280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875649" y="2927347"/>
          <a:ext cx="928456" cy="867800"/>
        </a:xfrm>
        <a:prstGeom prst="rect">
          <a:avLst/>
        </a:prstGeom>
      </xdr:spPr>
    </xdr:pic>
    <xdr:clientData/>
  </xdr:twoCellAnchor>
  <xdr:twoCellAnchor editAs="oneCell">
    <xdr:from>
      <xdr:col>20</xdr:col>
      <xdr:colOff>377589</xdr:colOff>
      <xdr:row>7</xdr:row>
      <xdr:rowOff>106037</xdr:rowOff>
    </xdr:from>
    <xdr:to>
      <xdr:col>22</xdr:col>
      <xdr:colOff>70470</xdr:colOff>
      <xdr:row>12</xdr:row>
      <xdr:rowOff>170310</xdr:rowOff>
    </xdr:to>
    <xdr:pic macro="[0]!CaputarLogos">
      <xdr:nvPicPr>
        <xdr:cNvPr id="9" name="Gráfico 8" descr="Imagens com preenchimento sólido">
          <a:extLst>
            <a:ext uri="{FF2B5EF4-FFF2-40B4-BE49-F238E27FC236}">
              <a16:creationId xmlns:a16="http://schemas.microsoft.com/office/drawing/2014/main" id="{EB4B6AF1-79F8-4F3F-9BAB-AB775F7BC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18177" y="1343166"/>
          <a:ext cx="912081" cy="915920"/>
        </a:xfrm>
        <a:prstGeom prst="rect">
          <a:avLst/>
        </a:prstGeom>
      </xdr:spPr>
    </xdr:pic>
    <xdr:clientData/>
  </xdr:twoCellAnchor>
  <xdr:oneCellAnchor>
    <xdr:from>
      <xdr:col>22</xdr:col>
      <xdr:colOff>459045</xdr:colOff>
      <xdr:row>6</xdr:row>
      <xdr:rowOff>1987</xdr:rowOff>
    </xdr:from>
    <xdr:ext cx="1424941" cy="269369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A8EF24BC-EF32-4494-953E-09E8AD7D89A9}"/>
            </a:ext>
          </a:extLst>
        </xdr:cNvPr>
        <xdr:cNvSpPr/>
      </xdr:nvSpPr>
      <xdr:spPr>
        <a:xfrm>
          <a:off x="10608885" y="91638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20</xdr:col>
      <xdr:colOff>40146</xdr:colOff>
      <xdr:row>6</xdr:row>
      <xdr:rowOff>6626</xdr:rowOff>
    </xdr:from>
    <xdr:ext cx="1424941" cy="269369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DB52D2C2-933A-4A29-BAB1-C846EA9CD448}"/>
            </a:ext>
          </a:extLst>
        </xdr:cNvPr>
        <xdr:cNvSpPr/>
      </xdr:nvSpPr>
      <xdr:spPr>
        <a:xfrm>
          <a:off x="9062226" y="921026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21</xdr:col>
      <xdr:colOff>248927</xdr:colOff>
      <xdr:row>15</xdr:row>
      <xdr:rowOff>13252</xdr:rowOff>
    </xdr:from>
    <xdr:ext cx="1424941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F25FC475-5A2E-455A-9DD9-780E8BF9E545}"/>
            </a:ext>
          </a:extLst>
        </xdr:cNvPr>
        <xdr:cNvSpPr/>
      </xdr:nvSpPr>
      <xdr:spPr>
        <a:xfrm>
          <a:off x="9599115" y="2621981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technikgrupo.sharepoint.com/sites/transfer/Logos/Technik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Dados" displayName="TDados" ref="A1:I2" totalsRowShown="0">
  <autoFilter ref="A1:I2" xr:uid="{00000000-0009-0000-0100-000002000000}"/>
  <tableColumns count="9">
    <tableColumn id="1" xr3:uid="{00000000-0010-0000-0000-000001000000}" name="id"/>
    <tableColumn id="2" xr3:uid="{00000000-0010-0000-0000-000002000000}" name="logoCliente" dataCellStyle="Hiperlink"/>
    <tableColumn id="3" xr3:uid="{00000000-0010-0000-0000-000003000000}" name="nomeCliente"/>
    <tableColumn id="4" xr3:uid="{00000000-0010-0000-0000-000004000000}" name="numProjeto"/>
    <tableColumn id="5" xr3:uid="{00000000-0010-0000-0000-000005000000}" name="cidadeCliente"/>
    <tableColumn id="6" xr3:uid="{00000000-0010-0000-0000-000006000000}" name="siglaProjeto"/>
    <tableColumn id="7" xr3:uid="{00000000-0010-0000-0000-000007000000}" name="solicitante"/>
    <tableColumn id="8" xr3:uid="{00000000-0010-0000-0000-000008000000}" name="responsavelTecnico"/>
    <tableColumn id="9" xr3:uid="{00000000-0010-0000-0000-000009000000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F2C9210-03A7-4481-B0C4-D3CE2FF0B1BE}">
  <we:reference id="44446093-b465-4d6c-a6dc-5faf6de98677" version="2.5.5.0" store="EXCatalog" storeType="EXCatalog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../transfer/Logos/Technik.p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 tint="0.39997558519241921"/>
  </sheetPr>
  <dimension ref="A1:I2"/>
  <sheetViews>
    <sheetView workbookViewId="0">
      <selection sqref="A1:S4"/>
    </sheetView>
  </sheetViews>
  <sheetFormatPr defaultRowHeight="13.2"/>
  <cols>
    <col min="1" max="1" width="4.77734375" bestFit="1" customWidth="1"/>
    <col min="2" max="2" width="13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77734375" bestFit="1" customWidth="1"/>
    <col min="9" max="9" width="9.5546875" bestFit="1" customWidth="1"/>
  </cols>
  <sheetData>
    <row r="1" spans="1:9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</row>
    <row r="2" spans="1:9">
      <c r="A2">
        <v>1</v>
      </c>
      <c r="B2" s="22" t="s">
        <v>104</v>
      </c>
    </row>
  </sheetData>
  <hyperlinks>
    <hyperlink ref="B2" r:id="rId1" xr:uid="{A05F1A50-609C-4D5F-9115-F6159F7ED26A}"/>
  </hyperlinks>
  <pageMargins left="0.511811024" right="0.511811024" top="0.78740157499999996" bottom="0.78740157499999996" header="0.31496062000000002" footer="0.31496062000000002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V84"/>
  <sheetViews>
    <sheetView showGridLines="0" view="pageBreakPreview" topLeftCell="A30" zoomScale="85" zoomScaleNormal="70" zoomScaleSheetLayoutView="85" workbookViewId="0">
      <selection activeCell="B49" sqref="B49:N50"/>
    </sheetView>
  </sheetViews>
  <sheetFormatPr defaultRowHeight="12" customHeight="1"/>
  <cols>
    <col min="1" max="256" width="8.21875" customWidth="1"/>
  </cols>
  <sheetData>
    <row r="1" spans="1:22" ht="12" customHeight="1">
      <c r="A1" s="46" t="e" vm="1">
        <f>_xlfn.IMAGE(TDados[logoCliente])</f>
        <v>#VALUE!</v>
      </c>
      <c r="B1" s="47"/>
      <c r="C1" s="47"/>
      <c r="D1" s="38" t="s">
        <v>68</v>
      </c>
      <c r="E1" s="39"/>
      <c r="F1" s="39"/>
      <c r="G1" s="39"/>
      <c r="H1" s="40"/>
      <c r="I1" s="44" t="s">
        <v>69</v>
      </c>
      <c r="J1" s="76" t="str">
        <f>"FD-"&amp;Config!D2&amp;"-"&amp;Config!F2&amp;"-001"</f>
        <v>FD---001</v>
      </c>
      <c r="K1" s="76"/>
      <c r="L1" s="76"/>
      <c r="M1" s="76"/>
      <c r="N1" s="76"/>
      <c r="O1" s="77"/>
    </row>
    <row r="2" spans="1:22" ht="12" customHeight="1">
      <c r="A2" s="48"/>
      <c r="B2" s="49"/>
      <c r="C2" s="49"/>
      <c r="D2" s="41"/>
      <c r="E2" s="42"/>
      <c r="F2" s="42"/>
      <c r="G2" s="42"/>
      <c r="H2" s="43"/>
      <c r="I2" s="45"/>
      <c r="J2" s="56"/>
      <c r="K2" s="56"/>
      <c r="L2" s="56"/>
      <c r="M2" s="56"/>
      <c r="N2" s="56"/>
      <c r="O2" s="57"/>
    </row>
    <row r="3" spans="1:22" ht="12" customHeight="1">
      <c r="A3" s="48"/>
      <c r="B3" s="49"/>
      <c r="C3" s="49"/>
      <c r="D3" s="52" t="s">
        <v>70</v>
      </c>
      <c r="E3" s="54">
        <f>Config!C2</f>
        <v>0</v>
      </c>
      <c r="F3" s="54"/>
      <c r="G3" s="54"/>
      <c r="H3" s="54"/>
      <c r="I3" s="54"/>
      <c r="J3" s="54"/>
      <c r="K3" s="54"/>
      <c r="L3" s="54"/>
      <c r="M3" s="54"/>
      <c r="N3" s="54"/>
      <c r="O3" s="55"/>
    </row>
    <row r="4" spans="1:22" ht="12" customHeight="1">
      <c r="A4" s="50"/>
      <c r="B4" s="51"/>
      <c r="C4" s="51"/>
      <c r="D4" s="53"/>
      <c r="E4" s="56"/>
      <c r="F4" s="56"/>
      <c r="G4" s="56"/>
      <c r="H4" s="56"/>
      <c r="I4" s="56"/>
      <c r="J4" s="56"/>
      <c r="K4" s="56"/>
      <c r="L4" s="56"/>
      <c r="M4" s="56"/>
      <c r="N4" s="56"/>
      <c r="O4" s="57"/>
    </row>
    <row r="5" spans="1:22" ht="12" customHeight="1">
      <c r="A5" s="58" t="e" vm="1">
        <f t="shared" ref="A5:C8" si="0">_xlfn.IMAGE("https://technikgrupo.sharepoint.com/sites/transfer/Logos/Technik.png")</f>
        <v>#VALUE!</v>
      </c>
      <c r="B5" s="59"/>
      <c r="C5" s="60"/>
      <c r="D5" s="52" t="s">
        <v>71</v>
      </c>
      <c r="E5" s="54">
        <f>Config!E2</f>
        <v>0</v>
      </c>
      <c r="F5" s="54"/>
      <c r="G5" s="54"/>
      <c r="H5" s="54"/>
      <c r="I5" s="54"/>
      <c r="J5" s="54"/>
      <c r="K5" s="54"/>
      <c r="L5" s="54"/>
      <c r="M5" s="54"/>
      <c r="N5" s="54"/>
      <c r="O5" s="55"/>
    </row>
    <row r="6" spans="1:22" ht="12" customHeight="1">
      <c r="A6" s="48"/>
      <c r="B6" s="49"/>
      <c r="C6" s="61"/>
      <c r="D6" s="53"/>
      <c r="E6" s="63"/>
      <c r="F6" s="63"/>
      <c r="G6" s="63"/>
      <c r="H6" s="63"/>
      <c r="I6" s="63"/>
      <c r="J6" s="63"/>
      <c r="K6" s="63"/>
      <c r="L6" s="63"/>
      <c r="M6" s="63"/>
      <c r="N6" s="63"/>
      <c r="O6" s="64"/>
    </row>
    <row r="7" spans="1:22" ht="12" customHeight="1">
      <c r="A7" s="48"/>
      <c r="B7" s="49"/>
      <c r="C7" s="61"/>
      <c r="D7" s="52" t="s">
        <v>72</v>
      </c>
      <c r="E7" s="65" t="s">
        <v>73</v>
      </c>
      <c r="F7" s="65"/>
      <c r="G7" s="65"/>
      <c r="H7" s="65"/>
      <c r="I7" s="65"/>
      <c r="J7" s="65"/>
      <c r="K7" s="65"/>
      <c r="L7" s="65"/>
      <c r="M7" s="65"/>
      <c r="N7" s="65"/>
      <c r="O7" s="66"/>
    </row>
    <row r="8" spans="1:22" ht="12" customHeight="1">
      <c r="A8" s="50"/>
      <c r="B8" s="51"/>
      <c r="C8" s="62"/>
      <c r="D8" s="53"/>
      <c r="E8" s="67"/>
      <c r="F8" s="67"/>
      <c r="G8" s="67"/>
      <c r="H8" s="67"/>
      <c r="I8" s="67"/>
      <c r="J8" s="67"/>
      <c r="K8" s="67"/>
      <c r="L8" s="67"/>
      <c r="M8" s="67"/>
      <c r="N8" s="67"/>
      <c r="O8" s="68"/>
    </row>
    <row r="9" spans="1:22" ht="12" customHeight="1">
      <c r="A9" s="78" t="s">
        <v>74</v>
      </c>
      <c r="B9" s="79"/>
      <c r="C9" s="80"/>
      <c r="D9" s="52" t="s">
        <v>75</v>
      </c>
      <c r="E9" s="85" t="s">
        <v>91</v>
      </c>
      <c r="F9" s="85"/>
      <c r="G9" s="85"/>
      <c r="H9" s="85"/>
      <c r="I9" s="85"/>
      <c r="J9" s="85"/>
      <c r="K9" s="85"/>
      <c r="L9" s="85"/>
      <c r="M9" s="85"/>
      <c r="N9" s="85"/>
      <c r="O9" s="86"/>
    </row>
    <row r="10" spans="1:22" ht="12" customHeight="1" thickBot="1">
      <c r="A10" s="81"/>
      <c r="B10" s="82"/>
      <c r="C10" s="83"/>
      <c r="D10" s="84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8"/>
    </row>
    <row r="11" spans="1:22" ht="12" customHeight="1">
      <c r="A11" s="89" t="s">
        <v>76</v>
      </c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1"/>
    </row>
    <row r="12" spans="1:22" ht="12" customHeight="1" thickBot="1">
      <c r="A12" s="92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4"/>
    </row>
    <row r="13" spans="1:22" ht="12" customHeight="1">
      <c r="A13" s="95" t="s">
        <v>77</v>
      </c>
      <c r="B13" s="97" t="s">
        <v>78</v>
      </c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8"/>
    </row>
    <row r="14" spans="1:22" ht="12" customHeight="1" thickBot="1">
      <c r="A14" s="96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100"/>
    </row>
    <row r="15" spans="1:22" ht="12" customHeight="1">
      <c r="A15" s="70" t="s">
        <v>79</v>
      </c>
      <c r="B15" s="72" t="s">
        <v>80</v>
      </c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3"/>
    </row>
    <row r="16" spans="1:22" ht="12" customHeight="1">
      <c r="A16" s="71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5"/>
      <c r="T16" s="21"/>
      <c r="U16" s="69"/>
      <c r="V16" s="21"/>
    </row>
    <row r="17" spans="1:22" ht="12" customHeight="1">
      <c r="A17" s="24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3"/>
      <c r="T17" s="21"/>
      <c r="U17" s="69"/>
      <c r="V17" s="21"/>
    </row>
    <row r="18" spans="1:22" ht="12" customHeight="1">
      <c r="A18" s="24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3"/>
      <c r="T18" s="21"/>
      <c r="U18" s="69"/>
      <c r="V18" s="21"/>
    </row>
    <row r="19" spans="1:22" ht="12" customHeight="1">
      <c r="A19" s="24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3"/>
      <c r="T19" s="21"/>
      <c r="U19" s="69"/>
      <c r="V19" s="21"/>
    </row>
    <row r="20" spans="1:22" ht="12" customHeight="1">
      <c r="A20" s="24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3"/>
      <c r="T20" s="21"/>
      <c r="U20" s="69"/>
      <c r="V20" s="21"/>
    </row>
    <row r="21" spans="1:22" ht="12" customHeight="1">
      <c r="A21" s="24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3"/>
      <c r="T21" s="21"/>
      <c r="U21" s="69"/>
      <c r="V21" s="21"/>
    </row>
    <row r="22" spans="1:22" ht="12" customHeight="1">
      <c r="A22" s="24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3"/>
      <c r="T22" s="21"/>
      <c r="U22" s="69"/>
      <c r="V22" s="21"/>
    </row>
    <row r="23" spans="1:22" ht="12" customHeight="1">
      <c r="A23" s="24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3"/>
      <c r="T23" s="21"/>
      <c r="U23" s="69"/>
      <c r="V23" s="21"/>
    </row>
    <row r="24" spans="1:22" ht="12" customHeight="1">
      <c r="A24" s="24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3"/>
      <c r="T24" s="21"/>
      <c r="U24" s="21"/>
      <c r="V24" s="21"/>
    </row>
    <row r="25" spans="1:22" ht="12" customHeight="1">
      <c r="A25" s="24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3"/>
      <c r="T25" s="21"/>
      <c r="U25" s="21"/>
      <c r="V25" s="21"/>
    </row>
    <row r="26" spans="1:22" ht="12" customHeight="1">
      <c r="A26" s="24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3"/>
      <c r="T26" s="21"/>
      <c r="U26" s="21"/>
      <c r="V26" s="21"/>
    </row>
    <row r="27" spans="1:22" ht="12" customHeight="1">
      <c r="A27" s="24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3"/>
      <c r="T27" s="21"/>
      <c r="U27" s="21"/>
      <c r="V27" s="21"/>
    </row>
    <row r="28" spans="1:22" ht="12" customHeight="1">
      <c r="A28" s="24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3"/>
      <c r="T28" s="21"/>
      <c r="U28" s="21"/>
      <c r="V28" s="21"/>
    </row>
    <row r="29" spans="1:22" ht="12" customHeight="1">
      <c r="A29" s="24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3"/>
      <c r="T29" s="21"/>
      <c r="U29" s="21"/>
      <c r="V29" s="21"/>
    </row>
    <row r="30" spans="1:22" ht="12" customHeight="1">
      <c r="A30" s="24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3"/>
      <c r="T30" s="21"/>
      <c r="U30" s="21"/>
      <c r="V30" s="21"/>
    </row>
    <row r="31" spans="1:22" ht="12" customHeight="1">
      <c r="A31" s="24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3"/>
      <c r="T31" s="21"/>
      <c r="U31" s="21"/>
      <c r="V31" s="21"/>
    </row>
    <row r="32" spans="1:22" ht="12" customHeight="1">
      <c r="A32" s="24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3"/>
      <c r="T32" s="21"/>
      <c r="U32" s="21"/>
      <c r="V32" s="21"/>
    </row>
    <row r="33" spans="1:22" ht="12" customHeight="1">
      <c r="A33" s="24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3"/>
      <c r="T33" s="21"/>
      <c r="U33" s="21"/>
      <c r="V33" s="21"/>
    </row>
    <row r="34" spans="1:22" ht="12" customHeight="1">
      <c r="A34" s="24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3"/>
      <c r="T34" s="21"/>
      <c r="U34" s="21"/>
      <c r="V34" s="21"/>
    </row>
    <row r="35" spans="1:22" ht="12" customHeight="1">
      <c r="A35" s="24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3"/>
    </row>
    <row r="36" spans="1:22" ht="12" customHeight="1">
      <c r="A36" s="24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3"/>
    </row>
    <row r="37" spans="1:22" ht="12" customHeight="1">
      <c r="A37" s="24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1:22" ht="12" customHeight="1">
      <c r="A38" s="24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3"/>
    </row>
    <row r="39" spans="1:22" ht="12" customHeight="1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3"/>
    </row>
    <row r="40" spans="1:22" ht="12" customHeight="1">
      <c r="A40" s="24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3"/>
    </row>
    <row r="41" spans="1:22" ht="12" customHeight="1">
      <c r="A41" s="24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3"/>
    </row>
    <row r="42" spans="1:22" ht="12" customHeight="1">
      <c r="A42" s="24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3"/>
    </row>
    <row r="43" spans="1:22" ht="12" customHeight="1">
      <c r="A43" s="24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3"/>
    </row>
    <row r="44" spans="1:22" ht="12" customHeight="1">
      <c r="A44" s="24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3"/>
    </row>
    <row r="45" spans="1:22" ht="12" customHeight="1">
      <c r="A45" s="24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3"/>
    </row>
    <row r="46" spans="1:22" ht="12" customHeight="1" thickBot="1">
      <c r="A46" s="24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3"/>
    </row>
    <row r="47" spans="1:22" ht="12" customHeight="1">
      <c r="A47" s="26" t="s">
        <v>81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8"/>
    </row>
    <row r="48" spans="1:22" ht="12" customHeight="1" thickBot="1">
      <c r="A48" s="29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1"/>
    </row>
    <row r="49" spans="1:15" ht="12" customHeight="1">
      <c r="A49" s="24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3"/>
    </row>
    <row r="50" spans="1:15" ht="12" customHeight="1">
      <c r="A50" s="24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3"/>
    </row>
    <row r="51" spans="1:15" ht="12" customHeight="1">
      <c r="A51" s="24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3"/>
    </row>
    <row r="52" spans="1:15" ht="12" customHeight="1">
      <c r="A52" s="24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3"/>
    </row>
    <row r="53" spans="1:15" ht="12" customHeight="1">
      <c r="A53" s="24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3"/>
    </row>
    <row r="54" spans="1:15" ht="12" customHeight="1">
      <c r="A54" s="24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3"/>
    </row>
    <row r="55" spans="1:15" ht="12" customHeight="1">
      <c r="A55" s="24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3"/>
    </row>
    <row r="56" spans="1:15" ht="12" customHeight="1">
      <c r="A56" s="24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3"/>
    </row>
    <row r="57" spans="1:15" ht="12" customHeight="1">
      <c r="A57" s="24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3"/>
    </row>
    <row r="58" spans="1:15" ht="12" customHeight="1">
      <c r="A58" s="24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3"/>
    </row>
    <row r="59" spans="1:15" ht="12" customHeight="1">
      <c r="A59" s="24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3"/>
    </row>
    <row r="60" spans="1:15" ht="12" customHeight="1">
      <c r="A60" s="24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3"/>
    </row>
    <row r="61" spans="1:15" ht="12" customHeight="1">
      <c r="A61" s="24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3"/>
    </row>
    <row r="62" spans="1:15" ht="12" customHeight="1">
      <c r="A62" s="24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3"/>
    </row>
    <row r="63" spans="1:15" ht="12" customHeight="1">
      <c r="A63" s="24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3"/>
    </row>
    <row r="64" spans="1:15" ht="12" customHeight="1">
      <c r="A64" s="24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3"/>
    </row>
    <row r="65" spans="1:15" ht="12" customHeight="1">
      <c r="A65" s="24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3"/>
    </row>
    <row r="66" spans="1:15" ht="12" customHeight="1">
      <c r="A66" s="24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3"/>
    </row>
    <row r="67" spans="1:15" ht="12" customHeight="1">
      <c r="A67" s="24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3"/>
    </row>
    <row r="68" spans="1:15" ht="12" customHeight="1">
      <c r="A68" s="24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3"/>
    </row>
    <row r="69" spans="1:15" ht="12" customHeight="1">
      <c r="A69" s="24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3"/>
    </row>
    <row r="70" spans="1:15" ht="12" customHeight="1">
      <c r="A70" s="24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3"/>
    </row>
    <row r="71" spans="1:15" ht="12" customHeight="1">
      <c r="A71" s="24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3"/>
    </row>
    <row r="72" spans="1:15" ht="12" customHeight="1">
      <c r="A72" s="24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3"/>
    </row>
    <row r="73" spans="1:15" ht="12" customHeight="1">
      <c r="A73" s="24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3"/>
    </row>
    <row r="74" spans="1:15" ht="12" customHeight="1">
      <c r="A74" s="24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3"/>
    </row>
    <row r="75" spans="1:15" ht="12" customHeight="1">
      <c r="A75" s="24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3"/>
    </row>
    <row r="76" spans="1:15" ht="12" customHeight="1">
      <c r="A76" s="24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3"/>
    </row>
    <row r="77" spans="1:15" ht="12" customHeight="1">
      <c r="A77" s="24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3"/>
    </row>
    <row r="78" spans="1:15" ht="12" customHeight="1">
      <c r="A78" s="24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3"/>
    </row>
    <row r="79" spans="1:15" ht="12" customHeight="1">
      <c r="A79" s="32" t="s">
        <v>82</v>
      </c>
      <c r="B79" s="33"/>
      <c r="C79" s="34"/>
      <c r="D79" s="8">
        <v>0</v>
      </c>
      <c r="E79" s="8">
        <v>1</v>
      </c>
      <c r="F79" s="8">
        <v>2</v>
      </c>
      <c r="G79" s="8">
        <v>3</v>
      </c>
      <c r="H79" s="8">
        <v>4</v>
      </c>
      <c r="I79" s="8">
        <v>5</v>
      </c>
      <c r="J79" s="8">
        <v>6</v>
      </c>
      <c r="K79" s="8">
        <v>7</v>
      </c>
      <c r="L79" s="8">
        <v>8</v>
      </c>
      <c r="M79" s="8">
        <v>9</v>
      </c>
      <c r="N79" s="8">
        <v>10</v>
      </c>
      <c r="O79" s="10">
        <v>11</v>
      </c>
    </row>
    <row r="80" spans="1:15" ht="12" customHeight="1">
      <c r="A80" s="32" t="s">
        <v>83</v>
      </c>
      <c r="B80" s="33"/>
      <c r="C80" s="34"/>
      <c r="D80" s="9">
        <f ca="1">TODAY()</f>
        <v>45716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10"/>
    </row>
    <row r="81" spans="1:15" ht="12" customHeight="1">
      <c r="A81" s="32" t="s">
        <v>84</v>
      </c>
      <c r="B81" s="33"/>
      <c r="C81" s="34"/>
      <c r="D81" s="8">
        <f>Config!D2</f>
        <v>0</v>
      </c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2"/>
    </row>
    <row r="82" spans="1:15" ht="12" customHeight="1">
      <c r="A82" s="32" t="s">
        <v>85</v>
      </c>
      <c r="B82" s="33"/>
      <c r="C82" s="34"/>
      <c r="D82" s="8" t="s">
        <v>86</v>
      </c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2"/>
    </row>
    <row r="83" spans="1:15" ht="12" customHeight="1">
      <c r="A83" s="32" t="s">
        <v>87</v>
      </c>
      <c r="B83" s="33"/>
      <c r="C83" s="34"/>
      <c r="D83" s="9" t="s">
        <v>88</v>
      </c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2"/>
    </row>
    <row r="84" spans="1:15" ht="12" customHeight="1" thickBot="1">
      <c r="A84" s="35" t="s">
        <v>89</v>
      </c>
      <c r="B84" s="36"/>
      <c r="C84" s="37"/>
      <c r="D84" s="13" t="s">
        <v>90</v>
      </c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5"/>
    </row>
  </sheetData>
  <mergeCells count="117">
    <mergeCell ref="A45:A46"/>
    <mergeCell ref="B45:N46"/>
    <mergeCell ref="O45:O46"/>
    <mergeCell ref="A41:A42"/>
    <mergeCell ref="B41:N42"/>
    <mergeCell ref="O41:O42"/>
    <mergeCell ref="A43:A44"/>
    <mergeCell ref="B43:N44"/>
    <mergeCell ref="O43:O44"/>
    <mergeCell ref="A37:A38"/>
    <mergeCell ref="B37:N38"/>
    <mergeCell ref="O37:O38"/>
    <mergeCell ref="A39:A40"/>
    <mergeCell ref="B39:N40"/>
    <mergeCell ref="O39:O40"/>
    <mergeCell ref="A35:A36"/>
    <mergeCell ref="B35:N36"/>
    <mergeCell ref="O35:O36"/>
    <mergeCell ref="A31:A32"/>
    <mergeCell ref="B31:N32"/>
    <mergeCell ref="O31:O32"/>
    <mergeCell ref="A33:A34"/>
    <mergeCell ref="B33:N34"/>
    <mergeCell ref="O33:O34"/>
    <mergeCell ref="A27:A28"/>
    <mergeCell ref="B27:N28"/>
    <mergeCell ref="O27:O28"/>
    <mergeCell ref="A29:A30"/>
    <mergeCell ref="B29:N30"/>
    <mergeCell ref="O29:O30"/>
    <mergeCell ref="J1:O2"/>
    <mergeCell ref="B23:N24"/>
    <mergeCell ref="O23:O24"/>
    <mergeCell ref="A25:A26"/>
    <mergeCell ref="B25:N26"/>
    <mergeCell ref="O25:O26"/>
    <mergeCell ref="A9:C10"/>
    <mergeCell ref="D9:D10"/>
    <mergeCell ref="E9:O10"/>
    <mergeCell ref="A11:O12"/>
    <mergeCell ref="A13:A14"/>
    <mergeCell ref="B13:O14"/>
    <mergeCell ref="U16:U23"/>
    <mergeCell ref="A15:A16"/>
    <mergeCell ref="A17:A18"/>
    <mergeCell ref="B17:N18"/>
    <mergeCell ref="O17:O18"/>
    <mergeCell ref="A19:A20"/>
    <mergeCell ref="B19:N20"/>
    <mergeCell ref="O19:O20"/>
    <mergeCell ref="A21:A22"/>
    <mergeCell ref="B21:N22"/>
    <mergeCell ref="O21:O22"/>
    <mergeCell ref="A23:A24"/>
    <mergeCell ref="B15:O16"/>
    <mergeCell ref="A82:C82"/>
    <mergeCell ref="A83:C83"/>
    <mergeCell ref="A84:C84"/>
    <mergeCell ref="D1:H2"/>
    <mergeCell ref="I1:I2"/>
    <mergeCell ref="A79:C79"/>
    <mergeCell ref="A80:C80"/>
    <mergeCell ref="A81:C81"/>
    <mergeCell ref="A51:A52"/>
    <mergeCell ref="B51:N52"/>
    <mergeCell ref="A59:A60"/>
    <mergeCell ref="B59:N60"/>
    <mergeCell ref="A67:A68"/>
    <mergeCell ref="B67:N68"/>
    <mergeCell ref="A75:A76"/>
    <mergeCell ref="B75:N76"/>
    <mergeCell ref="A1:C4"/>
    <mergeCell ref="D3:D4"/>
    <mergeCell ref="E3:O4"/>
    <mergeCell ref="A5:C8"/>
    <mergeCell ref="D5:D6"/>
    <mergeCell ref="E5:O6"/>
    <mergeCell ref="D7:D8"/>
    <mergeCell ref="E7:O8"/>
    <mergeCell ref="O51:O52"/>
    <mergeCell ref="A53:A54"/>
    <mergeCell ref="B53:N54"/>
    <mergeCell ref="O53:O54"/>
    <mergeCell ref="A47:O48"/>
    <mergeCell ref="A55:A56"/>
    <mergeCell ref="B55:N56"/>
    <mergeCell ref="O55:O56"/>
    <mergeCell ref="A57:A58"/>
    <mergeCell ref="B57:N58"/>
    <mergeCell ref="O57:O58"/>
    <mergeCell ref="A49:A50"/>
    <mergeCell ref="B49:N50"/>
    <mergeCell ref="O49:O50"/>
    <mergeCell ref="O59:O60"/>
    <mergeCell ref="A61:A62"/>
    <mergeCell ref="B61:N62"/>
    <mergeCell ref="O61:O62"/>
    <mergeCell ref="A63:A64"/>
    <mergeCell ref="B63:N64"/>
    <mergeCell ref="O63:O64"/>
    <mergeCell ref="A65:A66"/>
    <mergeCell ref="B65:N66"/>
    <mergeCell ref="O65:O66"/>
    <mergeCell ref="O75:O76"/>
    <mergeCell ref="A77:A78"/>
    <mergeCell ref="B77:N78"/>
    <mergeCell ref="O77:O78"/>
    <mergeCell ref="O67:O68"/>
    <mergeCell ref="A69:A70"/>
    <mergeCell ref="B69:N70"/>
    <mergeCell ref="O69:O70"/>
    <mergeCell ref="A71:A72"/>
    <mergeCell ref="B71:N72"/>
    <mergeCell ref="O71:O72"/>
    <mergeCell ref="A73:A74"/>
    <mergeCell ref="B73:N74"/>
    <mergeCell ref="O73:O74"/>
  </mergeCells>
  <pageMargins left="0.51181102362204722" right="0.51181102362204722" top="0.78740157480314965" bottom="0.78740157480314965" header="0.31496062992125984" footer="0.31496062992125984"/>
  <pageSetup paperSize="9" scale="76" orientation="portrait" r:id="rId1"/>
  <ignoredErrors>
    <ignoredError sqref="A15" numberStoredAsTex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pageSetUpPr fitToPage="1"/>
  </sheetPr>
  <dimension ref="A1:Z54"/>
  <sheetViews>
    <sheetView showGridLines="0" tabSelected="1" view="pageBreakPreview" zoomScale="85" zoomScaleNormal="70" zoomScaleSheetLayoutView="85" workbookViewId="0">
      <selection activeCell="U19" sqref="U19"/>
    </sheetView>
  </sheetViews>
  <sheetFormatPr defaultRowHeight="13.2"/>
  <cols>
    <col min="1" max="1" width="35.109375" style="1" bestFit="1" customWidth="1"/>
    <col min="2" max="19" width="4.88671875" style="1" customWidth="1"/>
  </cols>
  <sheetData>
    <row r="1" spans="1:26" ht="14.25" customHeight="1">
      <c r="A1" s="110" t="e" vm="1">
        <f t="shared" ref="A1:A4" si="0">_xlfn.IMAGE("https://technikgrupo.sharepoint.com/sites/transfer/Logos/Technik.png")</f>
        <v>#VALUE!</v>
      </c>
      <c r="B1" s="113" t="s">
        <v>68</v>
      </c>
      <c r="C1" s="114"/>
      <c r="D1" s="114"/>
      <c r="E1" s="114"/>
      <c r="F1" s="114"/>
      <c r="G1" s="114"/>
      <c r="H1" s="115"/>
      <c r="I1" s="19" t="s">
        <v>92</v>
      </c>
      <c r="J1" s="165" t="str">
        <f>"FD-"&amp;Config!D2&amp;"-"&amp;Config!F2&amp;"-001"</f>
        <v>FD---001</v>
      </c>
      <c r="K1" s="165"/>
      <c r="L1" s="165"/>
      <c r="M1" s="165"/>
      <c r="N1" s="165"/>
      <c r="O1" s="165"/>
      <c r="P1" s="165"/>
      <c r="Q1" s="165"/>
      <c r="R1" s="165"/>
      <c r="S1" s="166"/>
    </row>
    <row r="2" spans="1:26" ht="14.25" customHeight="1">
      <c r="A2" s="111"/>
      <c r="B2" s="20" t="s">
        <v>93</v>
      </c>
      <c r="C2" s="163" t="s">
        <v>73</v>
      </c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4"/>
    </row>
    <row r="3" spans="1:26" ht="14.25" customHeight="1">
      <c r="A3" s="111"/>
      <c r="B3" s="116" t="s">
        <v>94</v>
      </c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8"/>
    </row>
    <row r="4" spans="1:26" ht="14.25" customHeight="1" thickBot="1">
      <c r="A4" s="112"/>
      <c r="B4" s="119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1"/>
    </row>
    <row r="5" spans="1:26" ht="13.8" thickBot="1">
      <c r="A5" s="142" t="s">
        <v>0</v>
      </c>
      <c r="B5" s="143"/>
      <c r="C5" s="143"/>
      <c r="D5" s="143"/>
      <c r="E5" s="143"/>
      <c r="F5" s="143"/>
      <c r="G5" s="144"/>
      <c r="H5" s="142" t="s">
        <v>1</v>
      </c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4"/>
    </row>
    <row r="6" spans="1:26">
      <c r="A6" s="17" t="s">
        <v>2</v>
      </c>
      <c r="B6" s="167"/>
      <c r="C6" s="168"/>
      <c r="D6" s="168"/>
      <c r="E6" s="168"/>
      <c r="F6" s="168"/>
      <c r="G6" s="168"/>
      <c r="H6" s="139" t="s">
        <v>31</v>
      </c>
      <c r="I6" s="140"/>
      <c r="J6" s="140"/>
      <c r="K6" s="140"/>
      <c r="L6" s="140"/>
      <c r="M6" s="141"/>
      <c r="N6" s="133"/>
      <c r="O6" s="134"/>
      <c r="P6" s="134"/>
      <c r="Q6" s="134"/>
      <c r="R6" s="134"/>
      <c r="S6" s="135"/>
    </row>
    <row r="7" spans="1:26">
      <c r="A7" s="3" t="s">
        <v>3</v>
      </c>
      <c r="B7" s="158"/>
      <c r="C7" s="159"/>
      <c r="D7" s="159"/>
      <c r="E7" s="159"/>
      <c r="F7" s="159"/>
      <c r="G7" s="159"/>
      <c r="H7" s="128" t="s">
        <v>17</v>
      </c>
      <c r="I7" s="129"/>
      <c r="J7" s="129"/>
      <c r="K7" s="129"/>
      <c r="L7" s="129"/>
      <c r="M7" s="130"/>
      <c r="N7" s="104"/>
      <c r="O7" s="105"/>
      <c r="P7" s="105"/>
      <c r="Q7" s="105"/>
      <c r="R7" s="105"/>
      <c r="S7" s="106"/>
    </row>
    <row r="8" spans="1:26">
      <c r="A8" s="4" t="s">
        <v>63</v>
      </c>
      <c r="B8" s="158"/>
      <c r="C8" s="159"/>
      <c r="D8" s="159"/>
      <c r="E8" s="159"/>
      <c r="F8" s="159"/>
      <c r="G8" s="159"/>
      <c r="H8" s="128" t="s">
        <v>61</v>
      </c>
      <c r="I8" s="129"/>
      <c r="J8" s="129"/>
      <c r="K8" s="129"/>
      <c r="L8" s="129"/>
      <c r="M8" s="130"/>
      <c r="N8" s="104"/>
      <c r="O8" s="105"/>
      <c r="P8" s="105"/>
      <c r="Q8" s="105"/>
      <c r="R8" s="105"/>
      <c r="S8" s="106"/>
    </row>
    <row r="9" spans="1:26">
      <c r="A9" s="3" t="s">
        <v>4</v>
      </c>
      <c r="B9" s="158"/>
      <c r="C9" s="159"/>
      <c r="D9" s="159"/>
      <c r="E9" s="159"/>
      <c r="F9" s="159"/>
      <c r="G9" s="159"/>
      <c r="H9" s="128" t="s">
        <v>6</v>
      </c>
      <c r="I9" s="129"/>
      <c r="J9" s="129"/>
      <c r="K9" s="129"/>
      <c r="L9" s="129"/>
      <c r="M9" s="130"/>
      <c r="N9" s="104"/>
      <c r="O9" s="105"/>
      <c r="P9" s="105"/>
      <c r="Q9" s="105"/>
      <c r="R9" s="105"/>
      <c r="S9" s="106"/>
    </row>
    <row r="10" spans="1:26">
      <c r="A10" s="3" t="s">
        <v>5</v>
      </c>
      <c r="B10" s="158"/>
      <c r="C10" s="159"/>
      <c r="D10" s="159"/>
      <c r="E10" s="159"/>
      <c r="F10" s="159"/>
      <c r="G10" s="159"/>
      <c r="H10" s="128" t="s">
        <v>54</v>
      </c>
      <c r="I10" s="129"/>
      <c r="J10" s="129"/>
      <c r="K10" s="129"/>
      <c r="L10" s="129"/>
      <c r="M10" s="130"/>
      <c r="N10" s="104"/>
      <c r="O10" s="105"/>
      <c r="P10" s="105"/>
      <c r="Q10" s="105"/>
      <c r="R10" s="105"/>
      <c r="S10" s="106"/>
    </row>
    <row r="11" spans="1:26">
      <c r="A11" s="3" t="s">
        <v>6</v>
      </c>
      <c r="B11" s="158"/>
      <c r="C11" s="159"/>
      <c r="D11" s="159"/>
      <c r="E11" s="159"/>
      <c r="F11" s="159"/>
      <c r="G11" s="159"/>
      <c r="H11" s="128" t="s">
        <v>55</v>
      </c>
      <c r="I11" s="129"/>
      <c r="J11" s="129"/>
      <c r="K11" s="129"/>
      <c r="L11" s="129"/>
      <c r="M11" s="130"/>
      <c r="N11" s="104"/>
      <c r="O11" s="105"/>
      <c r="P11" s="105"/>
      <c r="Q11" s="105"/>
      <c r="R11" s="105"/>
      <c r="S11" s="106"/>
    </row>
    <row r="12" spans="1:26">
      <c r="A12" s="3" t="s">
        <v>7</v>
      </c>
      <c r="B12" s="158"/>
      <c r="C12" s="159"/>
      <c r="D12" s="159"/>
      <c r="E12" s="159"/>
      <c r="F12" s="159"/>
      <c r="G12" s="159"/>
      <c r="H12" s="128" t="s">
        <v>35</v>
      </c>
      <c r="I12" s="129"/>
      <c r="J12" s="129"/>
      <c r="K12" s="129"/>
      <c r="L12" s="129"/>
      <c r="M12" s="130"/>
      <c r="N12" s="104"/>
      <c r="O12" s="105"/>
      <c r="P12" s="105"/>
      <c r="Q12" s="105"/>
      <c r="R12" s="105"/>
      <c r="S12" s="106"/>
    </row>
    <row r="13" spans="1:26">
      <c r="A13" s="3" t="s">
        <v>8</v>
      </c>
      <c r="B13" s="148"/>
      <c r="C13" s="149"/>
      <c r="D13" s="149"/>
      <c r="E13" s="149"/>
      <c r="F13" s="149"/>
      <c r="G13" s="149"/>
      <c r="H13" s="128" t="s">
        <v>57</v>
      </c>
      <c r="I13" s="129"/>
      <c r="J13" s="129"/>
      <c r="K13" s="129"/>
      <c r="L13" s="129"/>
      <c r="M13" s="130"/>
      <c r="N13" s="104"/>
      <c r="O13" s="105"/>
      <c r="P13" s="105"/>
      <c r="Q13" s="105"/>
      <c r="R13" s="105"/>
      <c r="S13" s="106"/>
    </row>
    <row r="14" spans="1:26">
      <c r="A14" s="3" t="s">
        <v>9</v>
      </c>
      <c r="B14" s="148"/>
      <c r="C14" s="149"/>
      <c r="D14" s="149"/>
      <c r="E14" s="149"/>
      <c r="F14" s="149"/>
      <c r="G14" s="149"/>
      <c r="H14" s="128" t="s">
        <v>56</v>
      </c>
      <c r="I14" s="129"/>
      <c r="J14" s="129"/>
      <c r="K14" s="129"/>
      <c r="L14" s="129"/>
      <c r="M14" s="130"/>
      <c r="N14" s="104"/>
      <c r="O14" s="105"/>
      <c r="P14" s="105"/>
      <c r="Q14" s="105"/>
      <c r="R14" s="105"/>
      <c r="S14" s="106"/>
    </row>
    <row r="15" spans="1:26" ht="13.8" thickBot="1">
      <c r="A15" s="16" t="s">
        <v>10</v>
      </c>
      <c r="B15" s="150"/>
      <c r="C15" s="151"/>
      <c r="D15" s="151"/>
      <c r="E15" s="151"/>
      <c r="F15" s="151"/>
      <c r="G15" s="151"/>
      <c r="H15" s="131" t="s">
        <v>37</v>
      </c>
      <c r="I15" s="108"/>
      <c r="J15" s="108"/>
      <c r="K15" s="108"/>
      <c r="L15" s="108"/>
      <c r="M15" s="132"/>
      <c r="N15" s="107"/>
      <c r="O15" s="108"/>
      <c r="P15" s="108"/>
      <c r="Q15" s="108"/>
      <c r="R15" s="108"/>
      <c r="S15" s="109"/>
    </row>
    <row r="16" spans="1:26" ht="13.8" thickBot="1">
      <c r="A16" s="142" t="s">
        <v>11</v>
      </c>
      <c r="B16" s="143"/>
      <c r="C16" s="143"/>
      <c r="D16" s="143"/>
      <c r="E16" s="143"/>
      <c r="F16" s="143"/>
      <c r="G16" s="144"/>
      <c r="H16" s="142" t="s">
        <v>32</v>
      </c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4"/>
      <c r="X16" s="21"/>
      <c r="Y16" s="69"/>
      <c r="Z16" s="21"/>
    </row>
    <row r="17" spans="1:26">
      <c r="A17" s="18" t="s">
        <v>12</v>
      </c>
      <c r="B17" s="160"/>
      <c r="C17" s="161"/>
      <c r="D17" s="161"/>
      <c r="E17" s="161"/>
      <c r="F17" s="161"/>
      <c r="G17" s="162"/>
      <c r="H17" s="145" t="s">
        <v>31</v>
      </c>
      <c r="I17" s="145"/>
      <c r="J17" s="145"/>
      <c r="K17" s="145"/>
      <c r="L17" s="145"/>
      <c r="M17" s="146"/>
      <c r="N17" s="136"/>
      <c r="O17" s="137"/>
      <c r="P17" s="137"/>
      <c r="Q17" s="137"/>
      <c r="R17" s="137"/>
      <c r="S17" s="138"/>
      <c r="X17" s="21"/>
      <c r="Y17" s="69"/>
      <c r="Z17" s="21"/>
    </row>
    <row r="18" spans="1:26">
      <c r="A18" s="3" t="s">
        <v>60</v>
      </c>
      <c r="B18" s="148"/>
      <c r="C18" s="149"/>
      <c r="D18" s="149"/>
      <c r="E18" s="149"/>
      <c r="F18" s="149"/>
      <c r="G18" s="156"/>
      <c r="H18" s="129" t="s">
        <v>17</v>
      </c>
      <c r="I18" s="129"/>
      <c r="J18" s="129"/>
      <c r="K18" s="129"/>
      <c r="L18" s="129"/>
      <c r="M18" s="130"/>
      <c r="N18" s="104"/>
      <c r="O18" s="105"/>
      <c r="P18" s="105"/>
      <c r="Q18" s="105"/>
      <c r="R18" s="105"/>
      <c r="S18" s="106"/>
      <c r="X18" s="21"/>
      <c r="Y18" s="69"/>
      <c r="Z18" s="21"/>
    </row>
    <row r="19" spans="1:26">
      <c r="A19" s="5" t="s">
        <v>67</v>
      </c>
      <c r="B19" s="148"/>
      <c r="C19" s="149"/>
      <c r="D19" s="149"/>
      <c r="E19" s="149"/>
      <c r="F19" s="149"/>
      <c r="G19" s="156"/>
      <c r="H19" s="129" t="s">
        <v>33</v>
      </c>
      <c r="I19" s="129"/>
      <c r="J19" s="129"/>
      <c r="K19" s="129"/>
      <c r="L19" s="129"/>
      <c r="M19" s="130"/>
      <c r="N19" s="104"/>
      <c r="O19" s="105"/>
      <c r="P19" s="105"/>
      <c r="Q19" s="105"/>
      <c r="R19" s="105"/>
      <c r="S19" s="106"/>
      <c r="X19" s="21"/>
      <c r="Y19" s="69"/>
      <c r="Z19" s="21"/>
    </row>
    <row r="20" spans="1:26">
      <c r="A20" s="5" t="s">
        <v>13</v>
      </c>
      <c r="B20" s="148"/>
      <c r="C20" s="149"/>
      <c r="D20" s="149"/>
      <c r="E20" s="149"/>
      <c r="F20" s="149"/>
      <c r="G20" s="156"/>
      <c r="H20" s="129" t="s">
        <v>34</v>
      </c>
      <c r="I20" s="129"/>
      <c r="J20" s="129"/>
      <c r="K20" s="129"/>
      <c r="L20" s="129"/>
      <c r="M20" s="130"/>
      <c r="N20" s="104"/>
      <c r="O20" s="105"/>
      <c r="P20" s="105"/>
      <c r="Q20" s="105"/>
      <c r="R20" s="105"/>
      <c r="S20" s="106"/>
      <c r="X20" s="21"/>
      <c r="Y20" s="69"/>
      <c r="Z20" s="21"/>
    </row>
    <row r="21" spans="1:26">
      <c r="A21" s="3" t="s">
        <v>14</v>
      </c>
      <c r="B21" s="148"/>
      <c r="C21" s="149"/>
      <c r="D21" s="149"/>
      <c r="E21" s="149"/>
      <c r="F21" s="149"/>
      <c r="G21" s="156"/>
      <c r="H21" s="129" t="s">
        <v>35</v>
      </c>
      <c r="I21" s="129"/>
      <c r="J21" s="129"/>
      <c r="K21" s="129"/>
      <c r="L21" s="129"/>
      <c r="M21" s="130"/>
      <c r="N21" s="104"/>
      <c r="O21" s="105"/>
      <c r="P21" s="105"/>
      <c r="Q21" s="105"/>
      <c r="R21" s="105"/>
      <c r="S21" s="106"/>
      <c r="X21" s="21"/>
      <c r="Y21" s="69"/>
      <c r="Z21" s="21"/>
    </row>
    <row r="22" spans="1:26">
      <c r="A22" s="3" t="s">
        <v>15</v>
      </c>
      <c r="B22" s="148"/>
      <c r="C22" s="149"/>
      <c r="D22" s="149"/>
      <c r="E22" s="149"/>
      <c r="F22" s="149"/>
      <c r="G22" s="156"/>
      <c r="H22" s="129" t="s">
        <v>36</v>
      </c>
      <c r="I22" s="129"/>
      <c r="J22" s="129"/>
      <c r="K22" s="129"/>
      <c r="L22" s="129"/>
      <c r="M22" s="130"/>
      <c r="N22" s="104"/>
      <c r="O22" s="105"/>
      <c r="P22" s="105"/>
      <c r="Q22" s="105"/>
      <c r="R22" s="105"/>
      <c r="S22" s="106"/>
      <c r="X22" s="21"/>
      <c r="Y22" s="69"/>
      <c r="Z22" s="21"/>
    </row>
    <row r="23" spans="1:26" ht="13.8" thickBot="1">
      <c r="A23" s="6" t="s">
        <v>59</v>
      </c>
      <c r="B23" s="154"/>
      <c r="C23" s="155"/>
      <c r="D23" s="155"/>
      <c r="E23" s="155"/>
      <c r="F23" s="155"/>
      <c r="G23" s="157"/>
      <c r="H23" s="105" t="s">
        <v>37</v>
      </c>
      <c r="I23" s="105"/>
      <c r="J23" s="105"/>
      <c r="K23" s="105"/>
      <c r="L23" s="105"/>
      <c r="M23" s="147"/>
      <c r="N23" s="104"/>
      <c r="O23" s="105"/>
      <c r="P23" s="105"/>
      <c r="Q23" s="105"/>
      <c r="R23" s="105"/>
      <c r="S23" s="106"/>
      <c r="X23" s="21"/>
      <c r="Y23" s="69"/>
      <c r="Z23" s="21"/>
    </row>
    <row r="24" spans="1:26" ht="13.8" thickBot="1">
      <c r="A24" s="142" t="s">
        <v>16</v>
      </c>
      <c r="B24" s="143"/>
      <c r="C24" s="143"/>
      <c r="D24" s="143"/>
      <c r="E24" s="143"/>
      <c r="F24" s="143"/>
      <c r="G24" s="144"/>
      <c r="H24" s="142" t="s">
        <v>38</v>
      </c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4"/>
    </row>
    <row r="25" spans="1:26">
      <c r="A25" s="17" t="s">
        <v>17</v>
      </c>
      <c r="B25" s="152"/>
      <c r="C25" s="153"/>
      <c r="D25" s="153"/>
      <c r="E25" s="153"/>
      <c r="F25" s="153"/>
      <c r="G25" s="153"/>
      <c r="H25" s="139" t="s">
        <v>39</v>
      </c>
      <c r="I25" s="140"/>
      <c r="J25" s="140"/>
      <c r="K25" s="140"/>
      <c r="L25" s="140"/>
      <c r="M25" s="141"/>
      <c r="N25" s="125"/>
      <c r="O25" s="126"/>
      <c r="P25" s="126"/>
      <c r="Q25" s="126"/>
      <c r="R25" s="126"/>
      <c r="S25" s="127"/>
    </row>
    <row r="26" spans="1:26">
      <c r="A26" s="3" t="s">
        <v>18</v>
      </c>
      <c r="B26" s="148"/>
      <c r="C26" s="149"/>
      <c r="D26" s="149"/>
      <c r="E26" s="149"/>
      <c r="F26" s="149"/>
      <c r="G26" s="149"/>
      <c r="H26" s="128" t="s">
        <v>40</v>
      </c>
      <c r="I26" s="129"/>
      <c r="J26" s="129"/>
      <c r="K26" s="129"/>
      <c r="L26" s="129"/>
      <c r="M26" s="130"/>
      <c r="N26" s="122"/>
      <c r="O26" s="123"/>
      <c r="P26" s="123"/>
      <c r="Q26" s="123"/>
      <c r="R26" s="123"/>
      <c r="S26" s="124"/>
    </row>
    <row r="27" spans="1:26">
      <c r="A27" s="3" t="s">
        <v>19</v>
      </c>
      <c r="B27" s="148"/>
      <c r="C27" s="149"/>
      <c r="D27" s="149"/>
      <c r="E27" s="149"/>
      <c r="F27" s="149"/>
      <c r="G27" s="149"/>
      <c r="H27" s="128" t="s">
        <v>65</v>
      </c>
      <c r="I27" s="129"/>
      <c r="J27" s="129"/>
      <c r="K27" s="129"/>
      <c r="L27" s="129"/>
      <c r="M27" s="130"/>
      <c r="N27" s="122"/>
      <c r="O27" s="123"/>
      <c r="P27" s="123"/>
      <c r="Q27" s="123"/>
      <c r="R27" s="123"/>
      <c r="S27" s="124"/>
    </row>
    <row r="28" spans="1:26">
      <c r="A28" s="3" t="s">
        <v>20</v>
      </c>
      <c r="B28" s="148"/>
      <c r="C28" s="149"/>
      <c r="D28" s="149"/>
      <c r="E28" s="149"/>
      <c r="F28" s="149"/>
      <c r="G28" s="149"/>
      <c r="H28" s="128" t="s">
        <v>66</v>
      </c>
      <c r="I28" s="129"/>
      <c r="J28" s="129"/>
      <c r="K28" s="129"/>
      <c r="L28" s="129"/>
      <c r="M28" s="130"/>
      <c r="N28" s="122"/>
      <c r="O28" s="123"/>
      <c r="P28" s="123"/>
      <c r="Q28" s="123"/>
      <c r="R28" s="123"/>
      <c r="S28" s="124"/>
    </row>
    <row r="29" spans="1:26" ht="13.8" thickBot="1">
      <c r="A29" s="16" t="s">
        <v>58</v>
      </c>
      <c r="B29" s="150"/>
      <c r="C29" s="151"/>
      <c r="D29" s="151"/>
      <c r="E29" s="151"/>
      <c r="F29" s="151"/>
      <c r="G29" s="151"/>
      <c r="H29" s="128" t="s">
        <v>41</v>
      </c>
      <c r="I29" s="129"/>
      <c r="J29" s="129"/>
      <c r="K29" s="129"/>
      <c r="L29" s="129"/>
      <c r="M29" s="130"/>
      <c r="N29" s="122"/>
      <c r="O29" s="123"/>
      <c r="P29" s="123"/>
      <c r="Q29" s="123"/>
      <c r="R29" s="123"/>
      <c r="S29" s="124"/>
    </row>
    <row r="30" spans="1:26" ht="13.8" thickBot="1">
      <c r="A30" s="142" t="s">
        <v>21</v>
      </c>
      <c r="B30" s="143"/>
      <c r="C30" s="143"/>
      <c r="D30" s="143"/>
      <c r="E30" s="143"/>
      <c r="F30" s="143"/>
      <c r="G30" s="143"/>
      <c r="H30" s="128" t="s">
        <v>42</v>
      </c>
      <c r="I30" s="129"/>
      <c r="J30" s="129"/>
      <c r="K30" s="129"/>
      <c r="L30" s="129"/>
      <c r="M30" s="130"/>
      <c r="N30" s="122"/>
      <c r="O30" s="123"/>
      <c r="P30" s="123"/>
      <c r="Q30" s="123"/>
      <c r="R30" s="123"/>
      <c r="S30" s="124"/>
    </row>
    <row r="31" spans="1:26">
      <c r="A31" s="17" t="s">
        <v>17</v>
      </c>
      <c r="B31" s="152"/>
      <c r="C31" s="153"/>
      <c r="D31" s="153"/>
      <c r="E31" s="153"/>
      <c r="F31" s="153"/>
      <c r="G31" s="153"/>
      <c r="H31" s="128" t="s">
        <v>43</v>
      </c>
      <c r="I31" s="129"/>
      <c r="J31" s="129"/>
      <c r="K31" s="129"/>
      <c r="L31" s="129"/>
      <c r="M31" s="130"/>
      <c r="N31" s="122"/>
      <c r="O31" s="123"/>
      <c r="P31" s="123"/>
      <c r="Q31" s="123"/>
      <c r="R31" s="123"/>
      <c r="S31" s="124"/>
    </row>
    <row r="32" spans="1:26">
      <c r="A32" s="3" t="s">
        <v>22</v>
      </c>
      <c r="B32" s="148"/>
      <c r="C32" s="149"/>
      <c r="D32" s="149"/>
      <c r="E32" s="149"/>
      <c r="F32" s="149"/>
      <c r="G32" s="149"/>
      <c r="H32" s="128" t="s">
        <v>44</v>
      </c>
      <c r="I32" s="129"/>
      <c r="J32" s="129"/>
      <c r="K32" s="129"/>
      <c r="L32" s="129"/>
      <c r="M32" s="130"/>
      <c r="N32" s="122"/>
      <c r="O32" s="123"/>
      <c r="P32" s="123"/>
      <c r="Q32" s="123"/>
      <c r="R32" s="123"/>
      <c r="S32" s="124"/>
    </row>
    <row r="33" spans="1:19">
      <c r="A33" s="3" t="s">
        <v>23</v>
      </c>
      <c r="B33" s="148"/>
      <c r="C33" s="149"/>
      <c r="D33" s="149"/>
      <c r="E33" s="149"/>
      <c r="F33" s="149"/>
      <c r="G33" s="149"/>
      <c r="H33" s="128" t="s">
        <v>45</v>
      </c>
      <c r="I33" s="129"/>
      <c r="J33" s="129"/>
      <c r="K33" s="129"/>
      <c r="L33" s="129"/>
      <c r="M33" s="130"/>
      <c r="N33" s="122"/>
      <c r="O33" s="123"/>
      <c r="P33" s="123"/>
      <c r="Q33" s="123"/>
      <c r="R33" s="123"/>
      <c r="S33" s="124"/>
    </row>
    <row r="34" spans="1:19">
      <c r="A34" s="3" t="s">
        <v>24</v>
      </c>
      <c r="B34" s="148"/>
      <c r="C34" s="149"/>
      <c r="D34" s="149"/>
      <c r="E34" s="149"/>
      <c r="F34" s="149"/>
      <c r="G34" s="149"/>
      <c r="H34" s="128" t="s">
        <v>46</v>
      </c>
      <c r="I34" s="129"/>
      <c r="J34" s="129"/>
      <c r="K34" s="129"/>
      <c r="L34" s="129"/>
      <c r="M34" s="130"/>
      <c r="N34" s="122"/>
      <c r="O34" s="123"/>
      <c r="P34" s="123"/>
      <c r="Q34" s="123"/>
      <c r="R34" s="123"/>
      <c r="S34" s="124"/>
    </row>
    <row r="35" spans="1:19">
      <c r="A35" s="3" t="s">
        <v>25</v>
      </c>
      <c r="B35" s="148"/>
      <c r="C35" s="149"/>
      <c r="D35" s="149"/>
      <c r="E35" s="149"/>
      <c r="F35" s="149"/>
      <c r="G35" s="149"/>
      <c r="H35" s="128" t="s">
        <v>47</v>
      </c>
      <c r="I35" s="129"/>
      <c r="J35" s="129"/>
      <c r="K35" s="129"/>
      <c r="L35" s="129"/>
      <c r="M35" s="130"/>
      <c r="N35" s="122"/>
      <c r="O35" s="123"/>
      <c r="P35" s="123"/>
      <c r="Q35" s="123"/>
      <c r="R35" s="123"/>
      <c r="S35" s="124"/>
    </row>
    <row r="36" spans="1:19">
      <c r="A36" s="3" t="s">
        <v>26</v>
      </c>
      <c r="B36" s="148"/>
      <c r="C36" s="149"/>
      <c r="D36" s="149"/>
      <c r="E36" s="149"/>
      <c r="F36" s="149"/>
      <c r="G36" s="149"/>
      <c r="H36" s="128" t="s">
        <v>48</v>
      </c>
      <c r="I36" s="129"/>
      <c r="J36" s="129"/>
      <c r="K36" s="129"/>
      <c r="L36" s="129"/>
      <c r="M36" s="130"/>
      <c r="N36" s="122"/>
      <c r="O36" s="123"/>
      <c r="P36" s="123"/>
      <c r="Q36" s="123"/>
      <c r="R36" s="123"/>
      <c r="S36" s="124"/>
    </row>
    <row r="37" spans="1:19" ht="13.8" thickBot="1">
      <c r="A37" s="16" t="s">
        <v>27</v>
      </c>
      <c r="B37" s="150"/>
      <c r="C37" s="151"/>
      <c r="D37" s="151"/>
      <c r="E37" s="151"/>
      <c r="F37" s="151"/>
      <c r="G37" s="151"/>
      <c r="H37" s="128" t="s">
        <v>49</v>
      </c>
      <c r="I37" s="129"/>
      <c r="J37" s="129"/>
      <c r="K37" s="129"/>
      <c r="L37" s="129"/>
      <c r="M37" s="130"/>
      <c r="N37" s="104"/>
      <c r="O37" s="105"/>
      <c r="P37" s="105"/>
      <c r="Q37" s="105"/>
      <c r="R37" s="105"/>
      <c r="S37" s="106"/>
    </row>
    <row r="38" spans="1:19" ht="13.8" thickBot="1">
      <c r="A38" s="142" t="s">
        <v>28</v>
      </c>
      <c r="B38" s="143"/>
      <c r="C38" s="143"/>
      <c r="D38" s="143"/>
      <c r="E38" s="143"/>
      <c r="F38" s="143"/>
      <c r="G38" s="143"/>
      <c r="H38" s="128" t="s">
        <v>50</v>
      </c>
      <c r="I38" s="129"/>
      <c r="J38" s="129"/>
      <c r="K38" s="129"/>
      <c r="L38" s="129"/>
      <c r="M38" s="130"/>
      <c r="N38" s="104"/>
      <c r="O38" s="105"/>
      <c r="P38" s="105"/>
      <c r="Q38" s="105"/>
      <c r="R38" s="105"/>
      <c r="S38" s="106"/>
    </row>
    <row r="39" spans="1:19">
      <c r="A39" s="17" t="s">
        <v>62</v>
      </c>
      <c r="B39" s="152"/>
      <c r="C39" s="153"/>
      <c r="D39" s="153"/>
      <c r="E39" s="153"/>
      <c r="F39" s="153"/>
      <c r="G39" s="153"/>
      <c r="H39" s="128" t="s">
        <v>51</v>
      </c>
      <c r="I39" s="129"/>
      <c r="J39" s="129"/>
      <c r="K39" s="129"/>
      <c r="L39" s="129"/>
      <c r="M39" s="130"/>
      <c r="N39" s="104"/>
      <c r="O39" s="105"/>
      <c r="P39" s="105"/>
      <c r="Q39" s="105"/>
      <c r="R39" s="105"/>
      <c r="S39" s="106"/>
    </row>
    <row r="40" spans="1:19">
      <c r="A40" s="3" t="s">
        <v>29</v>
      </c>
      <c r="B40" s="148"/>
      <c r="C40" s="149"/>
      <c r="D40" s="149"/>
      <c r="E40" s="149"/>
      <c r="F40" s="149"/>
      <c r="G40" s="149"/>
      <c r="H40" s="128" t="s">
        <v>52</v>
      </c>
      <c r="I40" s="129"/>
      <c r="J40" s="129"/>
      <c r="K40" s="129"/>
      <c r="L40" s="129"/>
      <c r="M40" s="130"/>
      <c r="N40" s="104"/>
      <c r="O40" s="105"/>
      <c r="P40" s="105"/>
      <c r="Q40" s="105"/>
      <c r="R40" s="105"/>
      <c r="S40" s="106"/>
    </row>
    <row r="41" spans="1:19" ht="13.8" thickBot="1">
      <c r="A41" s="6" t="s">
        <v>30</v>
      </c>
      <c r="B41" s="154"/>
      <c r="C41" s="155"/>
      <c r="D41" s="155"/>
      <c r="E41" s="155"/>
      <c r="F41" s="155"/>
      <c r="G41" s="155"/>
      <c r="H41" s="131" t="s">
        <v>53</v>
      </c>
      <c r="I41" s="108"/>
      <c r="J41" s="108"/>
      <c r="K41" s="108"/>
      <c r="L41" s="108"/>
      <c r="M41" s="132"/>
      <c r="N41" s="107"/>
      <c r="O41" s="108"/>
      <c r="P41" s="108"/>
      <c r="Q41" s="108"/>
      <c r="R41" s="108"/>
      <c r="S41" s="109"/>
    </row>
    <row r="42" spans="1:19">
      <c r="A42" s="169" t="s">
        <v>64</v>
      </c>
      <c r="B42" s="170"/>
      <c r="C42" s="170"/>
      <c r="D42" s="170"/>
      <c r="E42" s="170"/>
      <c r="F42" s="170"/>
      <c r="G42" s="170"/>
      <c r="H42" s="170"/>
      <c r="I42" s="170"/>
      <c r="J42" s="170"/>
      <c r="K42" s="170"/>
      <c r="L42" s="170"/>
      <c r="M42" s="170"/>
      <c r="N42" s="170"/>
      <c r="O42" s="170"/>
      <c r="P42" s="170"/>
      <c r="Q42" s="170"/>
      <c r="R42" s="170"/>
      <c r="S42" s="171"/>
    </row>
    <row r="43" spans="1:19" ht="13.8" thickBot="1">
      <c r="A43" s="101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3"/>
    </row>
    <row r="44" spans="1:19">
      <c r="A44" s="7"/>
    </row>
    <row r="45" spans="1:19">
      <c r="A45" s="2"/>
    </row>
    <row r="46" spans="1:19">
      <c r="A46" s="2"/>
    </row>
    <row r="47" spans="1:19">
      <c r="A47" s="2"/>
    </row>
    <row r="48" spans="1:19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</sheetData>
  <mergeCells count="116">
    <mergeCell ref="A42:S42"/>
    <mergeCell ref="C2:S2"/>
    <mergeCell ref="J1:S1"/>
    <mergeCell ref="A5:G5"/>
    <mergeCell ref="B6:G6"/>
    <mergeCell ref="B7:G7"/>
    <mergeCell ref="B8:G8"/>
    <mergeCell ref="B9:G9"/>
    <mergeCell ref="B10:G10"/>
    <mergeCell ref="B11:G11"/>
    <mergeCell ref="H5:S5"/>
    <mergeCell ref="H28:M28"/>
    <mergeCell ref="H29:M29"/>
    <mergeCell ref="H26:M26"/>
    <mergeCell ref="B12:G12"/>
    <mergeCell ref="B13:G13"/>
    <mergeCell ref="B14:G14"/>
    <mergeCell ref="B28:G28"/>
    <mergeCell ref="B15:G15"/>
    <mergeCell ref="B17:G17"/>
    <mergeCell ref="B18:G18"/>
    <mergeCell ref="B19:G19"/>
    <mergeCell ref="B20:G20"/>
    <mergeCell ref="B21:G21"/>
    <mergeCell ref="B36:G36"/>
    <mergeCell ref="B37:G37"/>
    <mergeCell ref="B39:G39"/>
    <mergeCell ref="B40:G40"/>
    <mergeCell ref="B41:G41"/>
    <mergeCell ref="A16:G16"/>
    <mergeCell ref="A24:G24"/>
    <mergeCell ref="A30:G30"/>
    <mergeCell ref="A38:G38"/>
    <mergeCell ref="B29:G29"/>
    <mergeCell ref="B31:G31"/>
    <mergeCell ref="B32:G32"/>
    <mergeCell ref="B33:G33"/>
    <mergeCell ref="B34:G34"/>
    <mergeCell ref="B35:G35"/>
    <mergeCell ref="B22:G22"/>
    <mergeCell ref="B23:G23"/>
    <mergeCell ref="B25:G25"/>
    <mergeCell ref="B26:G26"/>
    <mergeCell ref="B27:G27"/>
    <mergeCell ref="H30:M30"/>
    <mergeCell ref="H31:M31"/>
    <mergeCell ref="H32:M32"/>
    <mergeCell ref="H33:M33"/>
    <mergeCell ref="H16:S16"/>
    <mergeCell ref="H24:S24"/>
    <mergeCell ref="H6:M6"/>
    <mergeCell ref="H7:M7"/>
    <mergeCell ref="H8:M8"/>
    <mergeCell ref="H9:M9"/>
    <mergeCell ref="H10:M10"/>
    <mergeCell ref="H11:M11"/>
    <mergeCell ref="H12:M12"/>
    <mergeCell ref="H13:M13"/>
    <mergeCell ref="H14:M14"/>
    <mergeCell ref="H15:M15"/>
    <mergeCell ref="H17:M17"/>
    <mergeCell ref="H18:M18"/>
    <mergeCell ref="H19:M19"/>
    <mergeCell ref="H20:M20"/>
    <mergeCell ref="H21:M21"/>
    <mergeCell ref="H22:M22"/>
    <mergeCell ref="H23:M23"/>
    <mergeCell ref="N23:S23"/>
    <mergeCell ref="H36:M36"/>
    <mergeCell ref="H37:M37"/>
    <mergeCell ref="H38:M38"/>
    <mergeCell ref="H39:M39"/>
    <mergeCell ref="H40:M40"/>
    <mergeCell ref="H41:M41"/>
    <mergeCell ref="N6:S6"/>
    <mergeCell ref="N7:S7"/>
    <mergeCell ref="N8:S8"/>
    <mergeCell ref="N9:S9"/>
    <mergeCell ref="N10:S10"/>
    <mergeCell ref="N11:S11"/>
    <mergeCell ref="N12:S12"/>
    <mergeCell ref="N13:S13"/>
    <mergeCell ref="N14:S14"/>
    <mergeCell ref="N15:S15"/>
    <mergeCell ref="N17:S17"/>
    <mergeCell ref="N18:S18"/>
    <mergeCell ref="N19:S19"/>
    <mergeCell ref="N20:S20"/>
    <mergeCell ref="N21:S21"/>
    <mergeCell ref="N22:S22"/>
    <mergeCell ref="H25:M25"/>
    <mergeCell ref="H27:M27"/>
    <mergeCell ref="A43:S43"/>
    <mergeCell ref="N40:S40"/>
    <mergeCell ref="N41:S41"/>
    <mergeCell ref="A1:A4"/>
    <mergeCell ref="B1:H1"/>
    <mergeCell ref="B3:S4"/>
    <mergeCell ref="N34:S34"/>
    <mergeCell ref="N35:S35"/>
    <mergeCell ref="Y16:Y23"/>
    <mergeCell ref="N25:S25"/>
    <mergeCell ref="N26:S26"/>
    <mergeCell ref="N27:S27"/>
    <mergeCell ref="N36:S36"/>
    <mergeCell ref="N37:S37"/>
    <mergeCell ref="N38:S38"/>
    <mergeCell ref="N39:S39"/>
    <mergeCell ref="N28:S28"/>
    <mergeCell ref="N29:S29"/>
    <mergeCell ref="N30:S30"/>
    <mergeCell ref="N31:S31"/>
    <mergeCell ref="N32:S32"/>
    <mergeCell ref="N33:S33"/>
    <mergeCell ref="H34:M34"/>
    <mergeCell ref="H35:M35"/>
  </mergeCells>
  <phoneticPr fontId="6" type="noConversion"/>
  <pageMargins left="0.25" right="0.25" top="0.75" bottom="0.75" header="0.3" footer="0.3"/>
  <pageSetup paperSize="9" scale="82" orientation="portrait" r:id="rId1"/>
  <headerFooter alignWithMargins="0">
    <oddHeader>&amp;RAquisição de válvulas ON-OFF</oddHeader>
    <oddFooter>&amp;RPágina &amp;P de &amp;N</oddFooter>
  </headerFooter>
  <customProperties>
    <customPr name="EpmWorksheetKeyString_GUID" r:id="rId2"/>
  </customPropertie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48736B436F1234188764D7356CC9921" ma:contentTypeVersion="14" ma:contentTypeDescription="Crie um novo documento." ma:contentTypeScope="" ma:versionID="8924ab062f1355c5ba3bd1d95afbbeca">
  <xsd:schema xmlns:xsd="http://www.w3.org/2001/XMLSchema" xmlns:xs="http://www.w3.org/2001/XMLSchema" xmlns:p="http://schemas.microsoft.com/office/2006/metadata/properties" xmlns:ns2="5819e9d8-40b2-47d6-9d1b-b0d13f2b8820" xmlns:ns3="7eccd4f0-e210-48f9-bf5d-b8561e864e29" targetNamespace="http://schemas.microsoft.com/office/2006/metadata/properties" ma:root="true" ma:fieldsID="919aa7778c0db46c4ece1deaf9f235b7" ns2:_="" ns3:_="">
    <xsd:import namespace="5819e9d8-40b2-47d6-9d1b-b0d13f2b8820"/>
    <xsd:import namespace="7eccd4f0-e210-48f9-bf5d-b8561e864e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LengthInSeconds" minOccurs="0"/>
                <xsd:element ref="ns2:MediaServiceSearchProperties" minOccurs="0"/>
                <xsd:element ref="ns2:MediaServiceObjectDetectorVersion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19e9d8-40b2-47d6-9d1b-b0d13f2b882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Marcações de imagem" ma:readOnly="false" ma:fieldId="{5cf76f15-5ced-4ddc-b409-7134ff3c332f}" ma:taxonomyMulti="true" ma:sspId="c1763663-4f74-411a-b65e-e32b47ea5a6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Flow_SignoffStatus" ma:index="21" nillable="true" ma:displayName="Estado da aprovação" ma:internalName="Estado_x0020_da_x0020_aprova_x00e7__x00e3_o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ccd4f0-e210-48f9-bf5d-b8561e864e29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2e64c7ee-5de2-4db7-8281-7f9669046885}" ma:internalName="TaxCatchAll" ma:showField="CatchAllData" ma:web="7eccd4f0-e210-48f9-bf5d-b8561e864e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819e9d8-40b2-47d6-9d1b-b0d13f2b8820">
      <Terms xmlns="http://schemas.microsoft.com/office/infopath/2007/PartnerControls"/>
    </lcf76f155ced4ddcb4097134ff3c332f>
    <_Flow_SignoffStatus xmlns="5819e9d8-40b2-47d6-9d1b-b0d13f2b8820" xsi:nil="true"/>
    <TaxCatchAll xmlns="7eccd4f0-e210-48f9-bf5d-b8561e864e29" xsi:nil="true"/>
  </documentManagement>
</p:properties>
</file>

<file path=customXml/itemProps1.xml><?xml version="1.0" encoding="utf-8"?>
<ds:datastoreItem xmlns:ds="http://schemas.openxmlformats.org/officeDocument/2006/customXml" ds:itemID="{3D5CA525-8A95-4FB1-A8A4-5E6EDAA53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19e9d8-40b2-47d6-9d1b-b0d13f2b8820"/>
    <ds:schemaRef ds:uri="7eccd4f0-e210-48f9-bf5d-b8561e864e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CECB779-ED98-48EA-AA4D-8A51ACC94A0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84CF5F1-7A12-4DCC-8AB0-5A545997EF51}">
  <ds:schemaRefs>
    <ds:schemaRef ds:uri="http://schemas.microsoft.com/office/2006/metadata/properties"/>
    <ds:schemaRef ds:uri="http://schemas.microsoft.com/office/infopath/2007/PartnerControls"/>
    <ds:schemaRef ds:uri="1b146853-cbf1-4f8c-b6d7-58284d252a43"/>
    <ds:schemaRef ds:uri="5819e9d8-40b2-47d6-9d1b-b0d13f2b8820"/>
    <ds:schemaRef ds:uri="7eccd4f0-e210-48f9-bf5d-b8561e864e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6</vt:i4>
      </vt:variant>
    </vt:vector>
  </HeadingPairs>
  <TitlesOfParts>
    <vt:vector size="9" baseType="lpstr">
      <vt:lpstr>Config</vt:lpstr>
      <vt:lpstr>Capa</vt:lpstr>
      <vt:lpstr>Folhas</vt:lpstr>
      <vt:lpstr>Capa!Area_de_impressao</vt:lpstr>
      <vt:lpstr>Folhas!Area_de_impressao</vt:lpstr>
      <vt:lpstr>LogoClienteCapa</vt:lpstr>
      <vt:lpstr>LogoTechnikCapa</vt:lpstr>
      <vt:lpstr>Folhas!LogoTechnikFolha</vt:lpstr>
      <vt:lpstr>NomeDoc</vt:lpstr>
    </vt:vector>
  </TitlesOfParts>
  <Company>Corn Products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aemalavazzi</dc:creator>
  <cp:lastModifiedBy>Hugo Lima</cp:lastModifiedBy>
  <cp:lastPrinted>2023-09-19T13:28:04Z</cp:lastPrinted>
  <dcterms:created xsi:type="dcterms:W3CDTF">2011-02-14T10:50:06Z</dcterms:created>
  <dcterms:modified xsi:type="dcterms:W3CDTF">2025-02-28T14:37:40Z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CatchAll">
    <vt:lpwstr/>
  </property>
  <property fmtid="{D5CDD505-2E9C-101B-9397-08002B2CF9AE}" pid="3" name="lcf76f155ced4ddcb4097134ff3c332f">
    <vt:lpwstr/>
  </property>
  <property fmtid="{D5CDD505-2E9C-101B-9397-08002B2CF9AE}" pid="4" name="ContentTypeId">
    <vt:lpwstr>0x010100C48736B436F1234188764D7356CC9921</vt:lpwstr>
  </property>
  <property fmtid="{D5CDD505-2E9C-101B-9397-08002B2CF9AE}" pid="5" name="MediaServiceImageTags">
    <vt:lpwstr/>
  </property>
</Properties>
</file>