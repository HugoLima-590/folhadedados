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technikgrupo.sharepoint.com/sites/ControlePropostas/Documentos Compartilhados/4. CONTROLE DE PROPOSTAS/1. MODELOS/Folha de dados/FD/"/>
    </mc:Choice>
  </mc:AlternateContent>
  <xr:revisionPtr revIDLastSave="1928" documentId="8_{70F5166B-98FC-4D4C-B21A-3F2EA9638F7B}" xr6:coauthVersionLast="47" xr6:coauthVersionMax="47" xr10:uidLastSave="{AE8EADCB-F5EE-4BF4-BEA7-E20D89F104EE}"/>
  <bookViews>
    <workbookView xWindow="-108" yWindow="-108" windowWidth="23256" windowHeight="12576" tabRatio="721" firstSheet="1" activeTab="2" xr2:uid="{00000000-000D-0000-FFFF-FFFF00000000}"/>
  </bookViews>
  <sheets>
    <sheet name="Config" sheetId="115" state="hidden" r:id="rId1"/>
    <sheet name="Capa" sheetId="112" r:id="rId2"/>
    <sheet name="Folhas" sheetId="113" r:id="rId3"/>
    <sheet name="Lista" sheetId="6" state="hidden" r:id="rId4"/>
    <sheet name="FD53" sheetId="76" state="hidden" r:id="rId5"/>
    <sheet name="FD54" sheetId="98" state="hidden" r:id="rId6"/>
    <sheet name="FD56" sheetId="110" state="hidden" r:id="rId7"/>
    <sheet name="FD59" sheetId="82" state="hidden" r:id="rId8"/>
    <sheet name="FD61" sheetId="84" state="hidden" r:id="rId9"/>
    <sheet name="FD62" sheetId="85" state="hidden" r:id="rId10"/>
    <sheet name="FD63" sheetId="86" state="hidden" r:id="rId11"/>
    <sheet name="FD67" sheetId="93" state="hidden" r:id="rId12"/>
    <sheet name="FD68" sheetId="94" state="hidden" r:id="rId13"/>
    <sheet name="FD69" sheetId="95" state="hidden" r:id="rId14"/>
    <sheet name="FD70" sheetId="92" state="hidden" r:id="rId15"/>
    <sheet name="FD72" sheetId="105" state="hidden" r:id="rId16"/>
  </sheets>
  <definedNames>
    <definedName name="_xlnm._FilterDatabase" localSheetId="3" hidden="1">Lista!$A$6:$AH$8</definedName>
    <definedName name="Alternativa" localSheetId="4">#REF!</definedName>
    <definedName name="Alternativa" localSheetId="5">#REF!</definedName>
    <definedName name="Alternativa" localSheetId="6">#REF!</definedName>
    <definedName name="Alternativa" localSheetId="7">#REF!</definedName>
    <definedName name="Alternativa" localSheetId="8">#REF!</definedName>
    <definedName name="Alternativa" localSheetId="9">#REF!</definedName>
    <definedName name="Alternativa" localSheetId="10">#REF!</definedName>
    <definedName name="Alternativa" localSheetId="11">#REF!</definedName>
    <definedName name="Alternativa" localSheetId="12">#REF!</definedName>
    <definedName name="Alternativa" localSheetId="13">#REF!</definedName>
    <definedName name="Alternativa" localSheetId="14">#REF!</definedName>
    <definedName name="Alternativa" localSheetId="15">#REF!</definedName>
    <definedName name="Área" localSheetId="4">#REF!</definedName>
    <definedName name="Área" localSheetId="5">#REF!</definedName>
    <definedName name="Área" localSheetId="6">#REF!</definedName>
    <definedName name="Área" localSheetId="7">#REF!</definedName>
    <definedName name="Área" localSheetId="8">#REF!</definedName>
    <definedName name="Área" localSheetId="9">#REF!</definedName>
    <definedName name="Área" localSheetId="10">#REF!</definedName>
    <definedName name="Área" localSheetId="11">#REF!</definedName>
    <definedName name="Área" localSheetId="12">#REF!</definedName>
    <definedName name="Área" localSheetId="13">#REF!</definedName>
    <definedName name="Área" localSheetId="14">#REF!</definedName>
    <definedName name="Área" localSheetId="15">#REF!</definedName>
    <definedName name="_xlnm.Print_Area" localSheetId="1">Capa!$A$1:$O$85</definedName>
    <definedName name="_xlnm.Print_Area" localSheetId="4">'FD53'!$A$1:$O$64</definedName>
    <definedName name="_xlnm.Print_Area" localSheetId="5">'FD54'!$A$1:$O$64</definedName>
    <definedName name="_xlnm.Print_Area" localSheetId="6">'FD56'!$A$1:$O$64</definedName>
    <definedName name="_xlnm.Print_Area" localSheetId="7">'FD59'!$A$1:$O$64</definedName>
    <definedName name="_xlnm.Print_Area" localSheetId="8">'FD61'!$A$1:$O$64</definedName>
    <definedName name="_xlnm.Print_Area" localSheetId="9">'FD62'!$A$1:$O$64</definedName>
    <definedName name="_xlnm.Print_Area" localSheetId="10">'FD63'!$A$1:$O$64</definedName>
    <definedName name="_xlnm.Print_Area" localSheetId="11">'FD67'!$A$1:$O$64</definedName>
    <definedName name="_xlnm.Print_Area" localSheetId="12">'FD68'!$A$1:$O$64</definedName>
    <definedName name="_xlnm.Print_Area" localSheetId="13">'FD69'!$A$1:$O$64</definedName>
    <definedName name="_xlnm.Print_Area" localSheetId="14">'FD70'!$A$1:$O$64</definedName>
    <definedName name="_xlnm.Print_Area" localSheetId="15">'FD72'!$A$1:$O$64</definedName>
    <definedName name="_xlnm.Print_Area" localSheetId="2">Folhas!$A$1:$O$72</definedName>
    <definedName name="_xlnm.Print_Area" localSheetId="3">Lista!$A$2:$AG$8</definedName>
    <definedName name="ÁreaCalculadaGasesVaporesTítulo" localSheetId="4">#REF!</definedName>
    <definedName name="ÁreaCalculadaGasesVaporesTítulo" localSheetId="5">#REF!</definedName>
    <definedName name="ÁreaCalculadaGasesVaporesTítulo" localSheetId="6">#REF!</definedName>
    <definedName name="ÁreaCalculadaGasesVaporesTítulo" localSheetId="7">#REF!</definedName>
    <definedName name="ÁreaCalculadaGasesVaporesTítulo" localSheetId="8">#REF!</definedName>
    <definedName name="ÁreaCalculadaGasesVaporesTítulo" localSheetId="9">#REF!</definedName>
    <definedName name="ÁreaCalculadaGasesVaporesTítulo" localSheetId="10">#REF!</definedName>
    <definedName name="ÁreaCalculadaGasesVaporesTítulo" localSheetId="11">#REF!</definedName>
    <definedName name="ÁreaCalculadaGasesVaporesTítulo" localSheetId="12">#REF!</definedName>
    <definedName name="ÁreaCalculadaGasesVaporesTítulo" localSheetId="13">#REF!</definedName>
    <definedName name="ÁreaCalculadaGasesVaporesTítulo" localSheetId="14">#REF!</definedName>
    <definedName name="ÁreaCalculadaGasesVaporesTítulo" localSheetId="15">#REF!</definedName>
    <definedName name="ÁreaCalculadaGásVapor" localSheetId="4">#REF!</definedName>
    <definedName name="ÁreaCalculadaGásVapor" localSheetId="5">#REF!</definedName>
    <definedName name="ÁreaCalculadaGásVapor" localSheetId="6">#REF!</definedName>
    <definedName name="ÁreaCalculadaGásVapor" localSheetId="7">#REF!</definedName>
    <definedName name="ÁreaCalculadaGásVapor" localSheetId="8">#REF!</definedName>
    <definedName name="ÁreaCalculadaGásVapor" localSheetId="9">#REF!</definedName>
    <definedName name="ÁreaCalculadaGásVapor" localSheetId="10">#REF!</definedName>
    <definedName name="ÁreaCalculadaGásVapor" localSheetId="11">#REF!</definedName>
    <definedName name="ÁreaCalculadaGásVapor" localSheetId="12">#REF!</definedName>
    <definedName name="ÁreaCalculadaGásVapor" localSheetId="13">#REF!</definedName>
    <definedName name="ÁreaCalculadaGásVapor" localSheetId="14">#REF!</definedName>
    <definedName name="ÁreaCalculadaGásVapor" localSheetId="15">#REF!</definedName>
    <definedName name="ÁreaCalculadaLíquido" localSheetId="4">#REF!</definedName>
    <definedName name="ÁreaCalculadaLíquido" localSheetId="5">#REF!</definedName>
    <definedName name="ÁreaCalculadaLíquido" localSheetId="6">#REF!</definedName>
    <definedName name="ÁreaCalculadaLíquido" localSheetId="7">#REF!</definedName>
    <definedName name="ÁreaCalculadaLíquido" localSheetId="8">#REF!</definedName>
    <definedName name="ÁreaCalculadaLíquido" localSheetId="9">#REF!</definedName>
    <definedName name="ÁreaCalculadaLíquido" localSheetId="10">#REF!</definedName>
    <definedName name="ÁreaCalculadaLíquido" localSheetId="11">#REF!</definedName>
    <definedName name="ÁreaCalculadaLíquido" localSheetId="12">#REF!</definedName>
    <definedName name="ÁreaCalculadaLíquido" localSheetId="13">#REF!</definedName>
    <definedName name="ÁreaCalculadaLíquido" localSheetId="14">#REF!</definedName>
    <definedName name="ÁreaCalculadaLíquido" localSheetId="15">#REF!</definedName>
    <definedName name="ÁreaCalculadaLíquidosTítulo" localSheetId="4">#REF!</definedName>
    <definedName name="ÁreaCalculadaLíquidosTítulo" localSheetId="5">#REF!</definedName>
    <definedName name="ÁreaCalculadaLíquidosTítulo" localSheetId="6">#REF!</definedName>
    <definedName name="ÁreaCalculadaLíquidosTítulo" localSheetId="7">#REF!</definedName>
    <definedName name="ÁreaCalculadaLíquidosTítulo" localSheetId="8">#REF!</definedName>
    <definedName name="ÁreaCalculadaLíquidosTítulo" localSheetId="9">#REF!</definedName>
    <definedName name="ÁreaCalculadaLíquidosTítulo" localSheetId="10">#REF!</definedName>
    <definedName name="ÁreaCalculadaLíquidosTítulo" localSheetId="11">#REF!</definedName>
    <definedName name="ÁreaCalculadaLíquidosTítulo" localSheetId="12">#REF!</definedName>
    <definedName name="ÁreaCalculadaLíquidosTítulo" localSheetId="13">#REF!</definedName>
    <definedName name="ÁreaCalculadaLíquidosTítulo" localSheetId="14">#REF!</definedName>
    <definedName name="ÁreaCalculadaLíquidosTítulo" localSheetId="15">#REF!</definedName>
    <definedName name="ÁreaCalculadaMínima" localSheetId="4">#REF!</definedName>
    <definedName name="ÁreaCalculadaMínima" localSheetId="5">#REF!</definedName>
    <definedName name="ÁreaCalculadaMínima" localSheetId="6">#REF!</definedName>
    <definedName name="ÁreaCalculadaMínima" localSheetId="7">#REF!</definedName>
    <definedName name="ÁreaCalculadaMínima" localSheetId="8">#REF!</definedName>
    <definedName name="ÁreaCalculadaMínima" localSheetId="9">#REF!</definedName>
    <definedName name="ÁreaCalculadaMínima" localSheetId="10">#REF!</definedName>
    <definedName name="ÁreaCalculadaMínima" localSheetId="11">#REF!</definedName>
    <definedName name="ÁreaCalculadaMínima" localSheetId="12">#REF!</definedName>
    <definedName name="ÁreaCalculadaMínima" localSheetId="13">#REF!</definedName>
    <definedName name="ÁreaCalculadaMínima" localSheetId="14">#REF!</definedName>
    <definedName name="ÁreaCalculadaMínima" localSheetId="15">#REF!</definedName>
    <definedName name="ÁreaCalculadaMínimaTítulo" localSheetId="4">#REF!</definedName>
    <definedName name="ÁreaCalculadaMínimaTítulo" localSheetId="5">#REF!</definedName>
    <definedName name="ÁreaCalculadaMínimaTítulo" localSheetId="6">#REF!</definedName>
    <definedName name="ÁreaCalculadaMínimaTítulo" localSheetId="7">#REF!</definedName>
    <definedName name="ÁreaCalculadaMínimaTítulo" localSheetId="8">#REF!</definedName>
    <definedName name="ÁreaCalculadaMínimaTítulo" localSheetId="9">#REF!</definedName>
    <definedName name="ÁreaCalculadaMínimaTítulo" localSheetId="10">#REF!</definedName>
    <definedName name="ÁreaCalculadaMínimaTítulo" localSheetId="11">#REF!</definedName>
    <definedName name="ÁreaCalculadaMínimaTítulo" localSheetId="12">#REF!</definedName>
    <definedName name="ÁreaCalculadaMínimaTítulo" localSheetId="13">#REF!</definedName>
    <definedName name="ÁreaCalculadaMínimaTítulo" localSheetId="14">#REF!</definedName>
    <definedName name="ÁreaCalculadaMínimaTítulo" localSheetId="15">#REF!</definedName>
    <definedName name="ÁreaCálculosGases" localSheetId="4">#REF!</definedName>
    <definedName name="ÁreaCálculosGases" localSheetId="5">#REF!</definedName>
    <definedName name="ÁreaCálculosGases" localSheetId="6">#REF!</definedName>
    <definedName name="ÁreaCálculosGases" localSheetId="7">#REF!</definedName>
    <definedName name="ÁreaCálculosGases" localSheetId="8">#REF!</definedName>
    <definedName name="ÁreaCálculosGases" localSheetId="9">#REF!</definedName>
    <definedName name="ÁreaCálculosGases" localSheetId="10">#REF!</definedName>
    <definedName name="ÁreaCálculosGases" localSheetId="11">#REF!</definedName>
    <definedName name="ÁreaCálculosGases" localSheetId="12">#REF!</definedName>
    <definedName name="ÁreaCálculosGases" localSheetId="13">#REF!</definedName>
    <definedName name="ÁreaCálculosGases" localSheetId="14">#REF!</definedName>
    <definedName name="ÁreaCálculosGases" localSheetId="15">#REF!</definedName>
    <definedName name="ÁreaCálculosLíquidos" localSheetId="4">#REF!</definedName>
    <definedName name="ÁreaCálculosLíquidos" localSheetId="5">#REF!</definedName>
    <definedName name="ÁreaCálculosLíquidos" localSheetId="6">#REF!</definedName>
    <definedName name="ÁreaCálculosLíquidos" localSheetId="7">#REF!</definedName>
    <definedName name="ÁreaCálculosLíquidos" localSheetId="8">#REF!</definedName>
    <definedName name="ÁreaCálculosLíquidos" localSheetId="9">#REF!</definedName>
    <definedName name="ÁreaCálculosLíquidos" localSheetId="10">#REF!</definedName>
    <definedName name="ÁreaCálculosLíquidos" localSheetId="11">#REF!</definedName>
    <definedName name="ÁreaCálculosLíquidos" localSheetId="12">#REF!</definedName>
    <definedName name="ÁreaCálculosLíquidos" localSheetId="13">#REF!</definedName>
    <definedName name="ÁreaCálculosLíquidos" localSheetId="14">#REF!</definedName>
    <definedName name="ÁreaCálculosLíquidos" localSheetId="15">#REF!</definedName>
    <definedName name="ÁreaGases" localSheetId="4">#REF!</definedName>
    <definedName name="ÁreaGases" localSheetId="5">#REF!</definedName>
    <definedName name="ÁreaGases" localSheetId="6">#REF!</definedName>
    <definedName name="ÁreaGases" localSheetId="7">#REF!</definedName>
    <definedName name="ÁreaGases" localSheetId="8">#REF!</definedName>
    <definedName name="ÁreaGases" localSheetId="9">#REF!</definedName>
    <definedName name="ÁreaGases" localSheetId="10">#REF!</definedName>
    <definedName name="ÁreaGases" localSheetId="11">#REF!</definedName>
    <definedName name="ÁreaGases" localSheetId="12">#REF!</definedName>
    <definedName name="ÁreaGases" localSheetId="13">#REF!</definedName>
    <definedName name="ÁreaGases" localSheetId="14">#REF!</definedName>
    <definedName name="ÁreaGases" localSheetId="15">#REF!</definedName>
    <definedName name="ÁreaLíquidos" localSheetId="4">#REF!</definedName>
    <definedName name="ÁreaLíquidos" localSheetId="5">#REF!</definedName>
    <definedName name="ÁreaLíquidos" localSheetId="6">#REF!</definedName>
    <definedName name="ÁreaLíquidos" localSheetId="7">#REF!</definedName>
    <definedName name="ÁreaLíquidos" localSheetId="8">#REF!</definedName>
    <definedName name="ÁreaLíquidos" localSheetId="9">#REF!</definedName>
    <definedName name="ÁreaLíquidos" localSheetId="10">#REF!</definedName>
    <definedName name="ÁreaLíquidos" localSheetId="11">#REF!</definedName>
    <definedName name="ÁreaLíquidos" localSheetId="12">#REF!</definedName>
    <definedName name="ÁreaLíquidos" localSheetId="13">#REF!</definedName>
    <definedName name="ÁreaLíquidos" localSheetId="14">#REF!</definedName>
    <definedName name="ÁreaLíquidos" localSheetId="15">#REF!</definedName>
    <definedName name="ÁreaSelecionada" localSheetId="4">#REF!</definedName>
    <definedName name="ÁreaSelecionada" localSheetId="5">#REF!</definedName>
    <definedName name="ÁreaSelecionada" localSheetId="6">#REF!</definedName>
    <definedName name="ÁreaSelecionada" localSheetId="7">#REF!</definedName>
    <definedName name="ÁreaSelecionada" localSheetId="8">#REF!</definedName>
    <definedName name="ÁreaSelecionada" localSheetId="9">#REF!</definedName>
    <definedName name="ÁreaSelecionada" localSheetId="10">#REF!</definedName>
    <definedName name="ÁreaSelecionada" localSheetId="11">#REF!</definedName>
    <definedName name="ÁreaSelecionada" localSheetId="12">#REF!</definedName>
    <definedName name="ÁreaSelecionada" localSheetId="13">#REF!</definedName>
    <definedName name="ÁreaSelecionada" localSheetId="14">#REF!</definedName>
    <definedName name="ÁreaSelecionada" localSheetId="15">#REF!</definedName>
    <definedName name="ÁreaSelecionadaTítulo" localSheetId="4">#REF!</definedName>
    <definedName name="ÁreaSelecionadaTítulo" localSheetId="5">#REF!</definedName>
    <definedName name="ÁreaSelecionadaTítulo" localSheetId="6">#REF!</definedName>
    <definedName name="ÁreaSelecionadaTítulo" localSheetId="7">#REF!</definedName>
    <definedName name="ÁreaSelecionadaTítulo" localSheetId="8">#REF!</definedName>
    <definedName name="ÁreaSelecionadaTítulo" localSheetId="9">#REF!</definedName>
    <definedName name="ÁreaSelecionadaTítulo" localSheetId="10">#REF!</definedName>
    <definedName name="ÁreaSelecionadaTítulo" localSheetId="11">#REF!</definedName>
    <definedName name="ÁreaSelecionadaTítulo" localSheetId="12">#REF!</definedName>
    <definedName name="ÁreaSelecionadaTítulo" localSheetId="13">#REF!</definedName>
    <definedName name="ÁreaSelecionadaTítulo" localSheetId="14">#REF!</definedName>
    <definedName name="ÁreaSelecionadaTítulo" localSheetId="15">#REF!</definedName>
    <definedName name="CabeçalhoCálculosGas" localSheetId="4">#REF!</definedName>
    <definedName name="CabeçalhoCálculosGas" localSheetId="5">#REF!</definedName>
    <definedName name="CabeçalhoCálculosGas" localSheetId="6">#REF!</definedName>
    <definedName name="CabeçalhoCálculosGas" localSheetId="7">#REF!</definedName>
    <definedName name="CabeçalhoCálculosGas" localSheetId="8">#REF!</definedName>
    <definedName name="CabeçalhoCálculosGas" localSheetId="9">#REF!</definedName>
    <definedName name="CabeçalhoCálculosGas" localSheetId="10">#REF!</definedName>
    <definedName name="CabeçalhoCálculosGas" localSheetId="11">#REF!</definedName>
    <definedName name="CabeçalhoCálculosGas" localSheetId="12">#REF!</definedName>
    <definedName name="CabeçalhoCálculosGas" localSheetId="13">#REF!</definedName>
    <definedName name="CabeçalhoCálculosGas" localSheetId="14">#REF!</definedName>
    <definedName name="CabeçalhoCálculosGas" localSheetId="15">#REF!</definedName>
    <definedName name="CabeçalhoCálculosLiq" localSheetId="4">#REF!</definedName>
    <definedName name="CabeçalhoCálculosLiq" localSheetId="5">#REF!</definedName>
    <definedName name="CabeçalhoCálculosLiq" localSheetId="6">#REF!</definedName>
    <definedName name="CabeçalhoCálculosLiq" localSheetId="7">#REF!</definedName>
    <definedName name="CabeçalhoCálculosLiq" localSheetId="8">#REF!</definedName>
    <definedName name="CabeçalhoCálculosLiq" localSheetId="9">#REF!</definedName>
    <definedName name="CabeçalhoCálculosLiq" localSheetId="10">#REF!</definedName>
    <definedName name="CabeçalhoCálculosLiq" localSheetId="11">#REF!</definedName>
    <definedName name="CabeçalhoCálculosLiq" localSheetId="12">#REF!</definedName>
    <definedName name="CabeçalhoCálculosLiq" localSheetId="13">#REF!</definedName>
    <definedName name="CabeçalhoCálculosLiq" localSheetId="14">#REF!</definedName>
    <definedName name="CabeçalhoCálculosLiq" localSheetId="15">#REF!</definedName>
    <definedName name="CálculoParaGasesVaporesTítulo" localSheetId="4">#REF!</definedName>
    <definedName name="CálculoParaGasesVaporesTítulo" localSheetId="5">#REF!</definedName>
    <definedName name="CálculoParaGasesVaporesTítulo" localSheetId="6">#REF!</definedName>
    <definedName name="CálculoParaGasesVaporesTítulo" localSheetId="7">#REF!</definedName>
    <definedName name="CálculoParaGasesVaporesTítulo" localSheetId="8">#REF!</definedName>
    <definedName name="CálculoParaGasesVaporesTítulo" localSheetId="9">#REF!</definedName>
    <definedName name="CálculoParaGasesVaporesTítulo" localSheetId="10">#REF!</definedName>
    <definedName name="CálculoParaGasesVaporesTítulo" localSheetId="11">#REF!</definedName>
    <definedName name="CálculoParaGasesVaporesTítulo" localSheetId="12">#REF!</definedName>
    <definedName name="CálculoParaGasesVaporesTítulo" localSheetId="13">#REF!</definedName>
    <definedName name="CálculoParaGasesVaporesTítulo" localSheetId="14">#REF!</definedName>
    <definedName name="CálculoParaGasesVaporesTítulo" localSheetId="15">#REF!</definedName>
    <definedName name="CálculoParaLíquidosTítulo" localSheetId="4">#REF!</definedName>
    <definedName name="CálculoParaLíquidosTítulo" localSheetId="5">#REF!</definedName>
    <definedName name="CálculoParaLíquidosTítulo" localSheetId="6">#REF!</definedName>
    <definedName name="CálculoParaLíquidosTítulo" localSheetId="7">#REF!</definedName>
    <definedName name="CálculoParaLíquidosTítulo" localSheetId="8">#REF!</definedName>
    <definedName name="CálculoParaLíquidosTítulo" localSheetId="9">#REF!</definedName>
    <definedName name="CálculoParaLíquidosTítulo" localSheetId="10">#REF!</definedName>
    <definedName name="CálculoParaLíquidosTítulo" localSheetId="11">#REF!</definedName>
    <definedName name="CálculoParaLíquidosTítulo" localSheetId="12">#REF!</definedName>
    <definedName name="CálculoParaLíquidosTítulo" localSheetId="13">#REF!</definedName>
    <definedName name="CálculoParaLíquidosTítulo" localSheetId="14">#REF!</definedName>
    <definedName name="CálculoParaLíquidosTítulo" localSheetId="15">#REF!</definedName>
    <definedName name="CálculoVazãoTítulo" localSheetId="4">#REF!</definedName>
    <definedName name="CálculoVazãoTítulo" localSheetId="5">#REF!</definedName>
    <definedName name="CálculoVazãoTítulo" localSheetId="6">#REF!</definedName>
    <definedName name="CálculoVazãoTítulo" localSheetId="7">#REF!</definedName>
    <definedName name="CálculoVazãoTítulo" localSheetId="8">#REF!</definedName>
    <definedName name="CálculoVazãoTítulo" localSheetId="9">#REF!</definedName>
    <definedName name="CálculoVazãoTítulo" localSheetId="10">#REF!</definedName>
    <definedName name="CálculoVazãoTítulo" localSheetId="11">#REF!</definedName>
    <definedName name="CálculoVazãoTítulo" localSheetId="12">#REF!</definedName>
    <definedName name="CálculoVazãoTítulo" localSheetId="13">#REF!</definedName>
    <definedName name="CálculoVazãoTítulo" localSheetId="14">#REF!</definedName>
    <definedName name="CálculoVazãoTítulo" localSheetId="15">#REF!</definedName>
    <definedName name="ClienteEmpresa" localSheetId="4">#REF!</definedName>
    <definedName name="ClienteEmpresa" localSheetId="5">#REF!</definedName>
    <definedName name="ClienteEmpresa" localSheetId="6">#REF!</definedName>
    <definedName name="ClienteEmpresa" localSheetId="7">#REF!</definedName>
    <definedName name="ClienteEmpresa" localSheetId="8">#REF!</definedName>
    <definedName name="ClienteEmpresa" localSheetId="9">#REF!</definedName>
    <definedName name="ClienteEmpresa" localSheetId="10">#REF!</definedName>
    <definedName name="ClienteEmpresa" localSheetId="11">#REF!</definedName>
    <definedName name="ClienteEmpresa" localSheetId="12">#REF!</definedName>
    <definedName name="ClienteEmpresa" localSheetId="13">#REF!</definedName>
    <definedName name="ClienteEmpresa" localSheetId="14">#REF!</definedName>
    <definedName name="ClienteEmpresa" localSheetId="15">#REF!</definedName>
    <definedName name="ClienteReferência" localSheetId="4">#REF!</definedName>
    <definedName name="ClienteReferência" localSheetId="5">#REF!</definedName>
    <definedName name="ClienteReferência" localSheetId="6">#REF!</definedName>
    <definedName name="ClienteReferência" localSheetId="7">#REF!</definedName>
    <definedName name="ClienteReferência" localSheetId="8">#REF!</definedName>
    <definedName name="ClienteReferência" localSheetId="9">#REF!</definedName>
    <definedName name="ClienteReferência" localSheetId="10">#REF!</definedName>
    <definedName name="ClienteReferência" localSheetId="11">#REF!</definedName>
    <definedName name="ClienteReferência" localSheetId="12">#REF!</definedName>
    <definedName name="ClienteReferência" localSheetId="13">#REF!</definedName>
    <definedName name="ClienteReferência" localSheetId="14">#REF!</definedName>
    <definedName name="ClienteReferência" localSheetId="15">#REF!</definedName>
    <definedName name="ClienteRevisãoData" localSheetId="4">#REF!</definedName>
    <definedName name="ClienteRevisãoData" localSheetId="5">#REF!</definedName>
    <definedName name="ClienteRevisãoData" localSheetId="6">#REF!</definedName>
    <definedName name="ClienteRevisãoData" localSheetId="7">#REF!</definedName>
    <definedName name="ClienteRevisãoData" localSheetId="8">#REF!</definedName>
    <definedName name="ClienteRevisãoData" localSheetId="9">#REF!</definedName>
    <definedName name="ClienteRevisãoData" localSheetId="10">#REF!</definedName>
    <definedName name="ClienteRevisãoData" localSheetId="11">#REF!</definedName>
    <definedName name="ClienteRevisãoData" localSheetId="12">#REF!</definedName>
    <definedName name="ClienteRevisãoData" localSheetId="13">#REF!</definedName>
    <definedName name="ClienteRevisãoData" localSheetId="14">#REF!</definedName>
    <definedName name="ClienteRevisãoData" localSheetId="15">#REF!</definedName>
    <definedName name="CódigoVálvula" localSheetId="4">#REF!</definedName>
    <definedName name="CódigoVálvula" localSheetId="5">#REF!</definedName>
    <definedName name="CódigoVálvula" localSheetId="6">#REF!</definedName>
    <definedName name="CódigoVálvula" localSheetId="7">#REF!</definedName>
    <definedName name="CódigoVálvula" localSheetId="8">#REF!</definedName>
    <definedName name="CódigoVálvula" localSheetId="9">#REF!</definedName>
    <definedName name="CódigoVálvula" localSheetId="10">#REF!</definedName>
    <definedName name="CódigoVálvula" localSheetId="11">#REF!</definedName>
    <definedName name="CódigoVálvula" localSheetId="12">#REF!</definedName>
    <definedName name="CódigoVálvula" localSheetId="13">#REF!</definedName>
    <definedName name="CódigoVálvula" localSheetId="14">#REF!</definedName>
    <definedName name="CódigoVálvula" localSheetId="15">#REF!</definedName>
    <definedName name="CódigoVálvulaTítulo" localSheetId="4">#REF!</definedName>
    <definedName name="CódigoVálvulaTítulo" localSheetId="5">#REF!</definedName>
    <definedName name="CódigoVálvulaTítulo" localSheetId="6">#REF!</definedName>
    <definedName name="CódigoVálvulaTítulo" localSheetId="7">#REF!</definedName>
    <definedName name="CódigoVálvulaTítulo" localSheetId="8">#REF!</definedName>
    <definedName name="CódigoVálvulaTítulo" localSheetId="9">#REF!</definedName>
    <definedName name="CódigoVálvulaTítulo" localSheetId="10">#REF!</definedName>
    <definedName name="CódigoVálvulaTítulo" localSheetId="11">#REF!</definedName>
    <definedName name="CódigoVálvulaTítulo" localSheetId="12">#REF!</definedName>
    <definedName name="CódigoVálvulaTítulo" localSheetId="13">#REF!</definedName>
    <definedName name="CódigoVálvulaTítulo" localSheetId="14">#REF!</definedName>
    <definedName name="CódigoVálvulaTítulo" localSheetId="15">#REF!</definedName>
    <definedName name="CondiçãoDescrição1" localSheetId="4">#REF!</definedName>
    <definedName name="CondiçãoDescrição1" localSheetId="5">#REF!</definedName>
    <definedName name="CondiçãoDescrição1" localSheetId="6">#REF!</definedName>
    <definedName name="CondiçãoDescrição1" localSheetId="7">#REF!</definedName>
    <definedName name="CondiçãoDescrição1" localSheetId="8">#REF!</definedName>
    <definedName name="CondiçãoDescrição1" localSheetId="9">#REF!</definedName>
    <definedName name="CondiçãoDescrição1" localSheetId="10">#REF!</definedName>
    <definedName name="CondiçãoDescrição1" localSheetId="11">#REF!</definedName>
    <definedName name="CondiçãoDescrição1" localSheetId="12">#REF!</definedName>
    <definedName name="CondiçãoDescrição1" localSheetId="13">#REF!</definedName>
    <definedName name="CondiçãoDescrição1" localSheetId="14">#REF!</definedName>
    <definedName name="CondiçãoDescrição1" localSheetId="15">#REF!</definedName>
    <definedName name="CondiçãoDescrição2" localSheetId="4">#REF!</definedName>
    <definedName name="CondiçãoDescrição2" localSheetId="5">#REF!</definedName>
    <definedName name="CondiçãoDescrição2" localSheetId="6">#REF!</definedName>
    <definedName name="CondiçãoDescrição2" localSheetId="7">#REF!</definedName>
    <definedName name="CondiçãoDescrição2" localSheetId="8">#REF!</definedName>
    <definedName name="CondiçãoDescrição2" localSheetId="9">#REF!</definedName>
    <definedName name="CondiçãoDescrição2" localSheetId="10">#REF!</definedName>
    <definedName name="CondiçãoDescrição2" localSheetId="11">#REF!</definedName>
    <definedName name="CondiçãoDescrição2" localSheetId="12">#REF!</definedName>
    <definedName name="CondiçãoDescrição2" localSheetId="13">#REF!</definedName>
    <definedName name="CondiçãoDescrição2" localSheetId="14">#REF!</definedName>
    <definedName name="CondiçãoDescrição2" localSheetId="15">#REF!</definedName>
    <definedName name="CondiçãoDescrição3" localSheetId="4">#REF!</definedName>
    <definedName name="CondiçãoDescrição3" localSheetId="5">#REF!</definedName>
    <definedName name="CondiçãoDescrição3" localSheetId="6">#REF!</definedName>
    <definedName name="CondiçãoDescrição3" localSheetId="7">#REF!</definedName>
    <definedName name="CondiçãoDescrição3" localSheetId="8">#REF!</definedName>
    <definedName name="CondiçãoDescrição3" localSheetId="9">#REF!</definedName>
    <definedName name="CondiçãoDescrição3" localSheetId="10">#REF!</definedName>
    <definedName name="CondiçãoDescrição3" localSheetId="11">#REF!</definedName>
    <definedName name="CondiçãoDescrição3" localSheetId="12">#REF!</definedName>
    <definedName name="CondiçãoDescrição3" localSheetId="13">#REF!</definedName>
    <definedName name="CondiçãoDescrição3" localSheetId="14">#REF!</definedName>
    <definedName name="CondiçãoDescrição3" localSheetId="15">#REF!</definedName>
    <definedName name="CondiçãoDescrição4" localSheetId="4">#REF!</definedName>
    <definedName name="CondiçãoDescrição4" localSheetId="5">#REF!</definedName>
    <definedName name="CondiçãoDescrição4" localSheetId="6">#REF!</definedName>
    <definedName name="CondiçãoDescrição4" localSheetId="7">#REF!</definedName>
    <definedName name="CondiçãoDescrição4" localSheetId="8">#REF!</definedName>
    <definedName name="CondiçãoDescrição4" localSheetId="9">#REF!</definedName>
    <definedName name="CondiçãoDescrição4" localSheetId="10">#REF!</definedName>
    <definedName name="CondiçãoDescrição4" localSheetId="11">#REF!</definedName>
    <definedName name="CondiçãoDescrição4" localSheetId="12">#REF!</definedName>
    <definedName name="CondiçãoDescrição4" localSheetId="13">#REF!</definedName>
    <definedName name="CondiçãoDescrição4" localSheetId="14">#REF!</definedName>
    <definedName name="CondiçãoDescrição4" localSheetId="15">#REF!</definedName>
    <definedName name="CondiçãoDescrição5" localSheetId="4">#REF!</definedName>
    <definedName name="CondiçãoDescrição5" localSheetId="5">#REF!</definedName>
    <definedName name="CondiçãoDescrição5" localSheetId="6">#REF!</definedName>
    <definedName name="CondiçãoDescrição5" localSheetId="7">#REF!</definedName>
    <definedName name="CondiçãoDescrição5" localSheetId="8">#REF!</definedName>
    <definedName name="CondiçãoDescrição5" localSheetId="9">#REF!</definedName>
    <definedName name="CondiçãoDescrição5" localSheetId="10">#REF!</definedName>
    <definedName name="CondiçãoDescrição5" localSheetId="11">#REF!</definedName>
    <definedName name="CondiçãoDescrição5" localSheetId="12">#REF!</definedName>
    <definedName name="CondiçãoDescrição5" localSheetId="13">#REF!</definedName>
    <definedName name="CondiçãoDescrição5" localSheetId="14">#REF!</definedName>
    <definedName name="CondiçãoDescrição5" localSheetId="15">#REF!</definedName>
    <definedName name="CondiçãoDescrição6" localSheetId="4">#REF!</definedName>
    <definedName name="CondiçãoDescrição6" localSheetId="5">#REF!</definedName>
    <definedName name="CondiçãoDescrição6" localSheetId="6">#REF!</definedName>
    <definedName name="CondiçãoDescrição6" localSheetId="7">#REF!</definedName>
    <definedName name="CondiçãoDescrição6" localSheetId="8">#REF!</definedName>
    <definedName name="CondiçãoDescrição6" localSheetId="9">#REF!</definedName>
    <definedName name="CondiçãoDescrição6" localSheetId="10">#REF!</definedName>
    <definedName name="CondiçãoDescrição6" localSheetId="11">#REF!</definedName>
    <definedName name="CondiçãoDescrição6" localSheetId="12">#REF!</definedName>
    <definedName name="CondiçãoDescrição6" localSheetId="13">#REF!</definedName>
    <definedName name="CondiçãoDescrição6" localSheetId="14">#REF!</definedName>
    <definedName name="CondiçãoDescrição6" localSheetId="15">#REF!</definedName>
    <definedName name="CondiçõesDescrição" localSheetId="4">#REF!</definedName>
    <definedName name="CondiçõesDescrição" localSheetId="5">#REF!</definedName>
    <definedName name="CondiçõesDescrição" localSheetId="6">#REF!</definedName>
    <definedName name="CondiçõesDescrição" localSheetId="7">#REF!</definedName>
    <definedName name="CondiçõesDescrição" localSheetId="8">#REF!</definedName>
    <definedName name="CondiçõesDescrição" localSheetId="9">#REF!</definedName>
    <definedName name="CondiçõesDescrição" localSheetId="10">#REF!</definedName>
    <definedName name="CondiçõesDescrição" localSheetId="11">#REF!</definedName>
    <definedName name="CondiçõesDescrição" localSheetId="12">#REF!</definedName>
    <definedName name="CondiçõesDescrição" localSheetId="13">#REF!</definedName>
    <definedName name="CondiçõesDescrição" localSheetId="14">#REF!</definedName>
    <definedName name="CondiçõesDescrição" localSheetId="15">#REF!</definedName>
    <definedName name="CondiçõesEmUnidades" localSheetId="4">#REF!</definedName>
    <definedName name="CondiçõesEmUnidades" localSheetId="5">#REF!</definedName>
    <definedName name="CondiçõesEmUnidades" localSheetId="6">#REF!</definedName>
    <definedName name="CondiçõesEmUnidades" localSheetId="7">#REF!</definedName>
    <definedName name="CondiçõesEmUnidades" localSheetId="8">#REF!</definedName>
    <definedName name="CondiçõesEmUnidades" localSheetId="9">#REF!</definedName>
    <definedName name="CondiçõesEmUnidades" localSheetId="10">#REF!</definedName>
    <definedName name="CondiçõesEmUnidades" localSheetId="11">#REF!</definedName>
    <definedName name="CondiçõesEmUnidades" localSheetId="12">#REF!</definedName>
    <definedName name="CondiçõesEmUnidades" localSheetId="13">#REF!</definedName>
    <definedName name="CondiçõesEmUnidades" localSheetId="14">#REF!</definedName>
    <definedName name="CondiçõesEmUnidades" localSheetId="15">#REF!</definedName>
    <definedName name="CondiçõesServiçoInformadasTítulo" localSheetId="4">#REF!</definedName>
    <definedName name="CondiçõesServiçoInformadasTítulo" localSheetId="5">#REF!</definedName>
    <definedName name="CondiçõesServiçoInformadasTítulo" localSheetId="6">#REF!</definedName>
    <definedName name="CondiçõesServiçoInformadasTítulo" localSheetId="7">#REF!</definedName>
    <definedName name="CondiçõesServiçoInformadasTítulo" localSheetId="8">#REF!</definedName>
    <definedName name="CondiçõesServiçoInformadasTítulo" localSheetId="9">#REF!</definedName>
    <definedName name="CondiçõesServiçoInformadasTítulo" localSheetId="10">#REF!</definedName>
    <definedName name="CondiçõesServiçoInformadasTítulo" localSheetId="11">#REF!</definedName>
    <definedName name="CondiçõesServiçoInformadasTítulo" localSheetId="12">#REF!</definedName>
    <definedName name="CondiçõesServiçoInformadasTítulo" localSheetId="13">#REF!</definedName>
    <definedName name="CondiçõesServiçoInformadasTítulo" localSheetId="14">#REF!</definedName>
    <definedName name="CondiçõesServiçoInformadasTítulo" localSheetId="15">#REF!</definedName>
    <definedName name="CondiçõesSímbolo" localSheetId="4">#REF!</definedName>
    <definedName name="CondiçõesSímbolo" localSheetId="5">#REF!</definedName>
    <definedName name="CondiçõesSímbolo" localSheetId="6">#REF!</definedName>
    <definedName name="CondiçõesSímbolo" localSheetId="7">#REF!</definedName>
    <definedName name="CondiçõesSímbolo" localSheetId="8">#REF!</definedName>
    <definedName name="CondiçõesSímbolo" localSheetId="9">#REF!</definedName>
    <definedName name="CondiçõesSímbolo" localSheetId="10">#REF!</definedName>
    <definedName name="CondiçõesSímbolo" localSheetId="11">#REF!</definedName>
    <definedName name="CondiçõesSímbolo" localSheetId="12">#REF!</definedName>
    <definedName name="CondiçõesSímbolo" localSheetId="13">#REF!</definedName>
    <definedName name="CondiçõesSímbolo" localSheetId="14">#REF!</definedName>
    <definedName name="CondiçõesSímbolo" localSheetId="15">#REF!</definedName>
    <definedName name="CondiçõesValorConvertido" localSheetId="4">#REF!</definedName>
    <definedName name="CondiçõesValorConvertido" localSheetId="5">#REF!</definedName>
    <definedName name="CondiçõesValorConvertido" localSheetId="6">#REF!</definedName>
    <definedName name="CondiçõesValorConvertido" localSheetId="7">#REF!</definedName>
    <definedName name="CondiçõesValorConvertido" localSheetId="8">#REF!</definedName>
    <definedName name="CondiçõesValorConvertido" localSheetId="9">#REF!</definedName>
    <definedName name="CondiçõesValorConvertido" localSheetId="10">#REF!</definedName>
    <definedName name="CondiçõesValorConvertido" localSheetId="11">#REF!</definedName>
    <definedName name="CondiçõesValorConvertido" localSheetId="12">#REF!</definedName>
    <definedName name="CondiçõesValorConvertido" localSheetId="13">#REF!</definedName>
    <definedName name="CondiçõesValorConvertido" localSheetId="14">#REF!</definedName>
    <definedName name="CondiçõesValorConvertido" localSheetId="15">#REF!</definedName>
    <definedName name="CondiçõesValorInformado" localSheetId="4">#REF!</definedName>
    <definedName name="CondiçõesValorInformado" localSheetId="5">#REF!</definedName>
    <definedName name="CondiçõesValorInformado" localSheetId="6">#REF!</definedName>
    <definedName name="CondiçõesValorInformado" localSheetId="7">#REF!</definedName>
    <definedName name="CondiçõesValorInformado" localSheetId="8">#REF!</definedName>
    <definedName name="CondiçõesValorInformado" localSheetId="9">#REF!</definedName>
    <definedName name="CondiçõesValorInformado" localSheetId="10">#REF!</definedName>
    <definedName name="CondiçõesValorInformado" localSheetId="11">#REF!</definedName>
    <definedName name="CondiçõesValorInformado" localSheetId="12">#REF!</definedName>
    <definedName name="CondiçõesValorInformado" localSheetId="13">#REF!</definedName>
    <definedName name="CondiçõesValorInformado" localSheetId="14">#REF!</definedName>
    <definedName name="CondiçõesValorInformado" localSheetId="15">#REF!</definedName>
    <definedName name="ConexõesVálvula" localSheetId="4">#REF!</definedName>
    <definedName name="ConexõesVálvula" localSheetId="5">#REF!</definedName>
    <definedName name="ConexõesVálvula" localSheetId="6">#REF!</definedName>
    <definedName name="ConexõesVálvula" localSheetId="7">#REF!</definedName>
    <definedName name="ConexõesVálvula" localSheetId="8">#REF!</definedName>
    <definedName name="ConexõesVálvula" localSheetId="9">#REF!</definedName>
    <definedName name="ConexõesVálvula" localSheetId="10">#REF!</definedName>
    <definedName name="ConexõesVálvula" localSheetId="11">#REF!</definedName>
    <definedName name="ConexõesVálvula" localSheetId="12">#REF!</definedName>
    <definedName name="ConexõesVálvula" localSheetId="13">#REF!</definedName>
    <definedName name="ConexõesVálvula" localSheetId="14">#REF!</definedName>
    <definedName name="ConexõesVálvula" localSheetId="15">#REF!</definedName>
    <definedName name="ConexõesVálvulaTítulo" localSheetId="4">#REF!</definedName>
    <definedName name="ConexõesVálvulaTítulo" localSheetId="5">#REF!</definedName>
    <definedName name="ConexõesVálvulaTítulo" localSheetId="6">#REF!</definedName>
    <definedName name="ConexõesVálvulaTítulo" localSheetId="7">#REF!</definedName>
    <definedName name="ConexõesVálvulaTítulo" localSheetId="8">#REF!</definedName>
    <definedName name="ConexõesVálvulaTítulo" localSheetId="9">#REF!</definedName>
    <definedName name="ConexõesVálvulaTítulo" localSheetId="10">#REF!</definedName>
    <definedName name="ConexõesVálvulaTítulo" localSheetId="11">#REF!</definedName>
    <definedName name="ConexõesVálvulaTítulo" localSheetId="12">#REF!</definedName>
    <definedName name="ConexõesVálvulaTítulo" localSheetId="13">#REF!</definedName>
    <definedName name="ConexõesVálvulaTítulo" localSheetId="14">#REF!</definedName>
    <definedName name="ConexõesVálvulaTítulo" localSheetId="15">#REF!</definedName>
    <definedName name="ConstanteCTítulo" localSheetId="4">#REF!</definedName>
    <definedName name="ConstanteCTítulo" localSheetId="5">#REF!</definedName>
    <definedName name="ConstanteCTítulo" localSheetId="6">#REF!</definedName>
    <definedName name="ConstanteCTítulo" localSheetId="7">#REF!</definedName>
    <definedName name="ConstanteCTítulo" localSheetId="8">#REF!</definedName>
    <definedName name="ConstanteCTítulo" localSheetId="9">#REF!</definedName>
    <definedName name="ConstanteCTítulo" localSheetId="10">#REF!</definedName>
    <definedName name="ConstanteCTítulo" localSheetId="11">#REF!</definedName>
    <definedName name="ConstanteCTítulo" localSheetId="12">#REF!</definedName>
    <definedName name="ConstanteCTítulo" localSheetId="13">#REF!</definedName>
    <definedName name="ConstanteCTítulo" localSheetId="14">#REF!</definedName>
    <definedName name="ConstanteCTítulo" localSheetId="15">#REF!</definedName>
    <definedName name="Contato" localSheetId="4">#REF!</definedName>
    <definedName name="Contato" localSheetId="5">#REF!</definedName>
    <definedName name="Contato" localSheetId="6">#REF!</definedName>
    <definedName name="Contato" localSheetId="7">#REF!</definedName>
    <definedName name="Contato" localSheetId="8">#REF!</definedName>
    <definedName name="Contato" localSheetId="9">#REF!</definedName>
    <definedName name="Contato" localSheetId="10">#REF!</definedName>
    <definedName name="Contato" localSheetId="11">#REF!</definedName>
    <definedName name="Contato" localSheetId="12">#REF!</definedName>
    <definedName name="Contato" localSheetId="13">#REF!</definedName>
    <definedName name="Contato" localSheetId="14">#REF!</definedName>
    <definedName name="Contato" localSheetId="15">#REF!</definedName>
    <definedName name="ContrapressãoDesenvolvidaSímbolo" localSheetId="4">#REF!</definedName>
    <definedName name="ContrapressãoDesenvolvidaSímbolo" localSheetId="5">#REF!</definedName>
    <definedName name="ContrapressãoDesenvolvidaSímbolo" localSheetId="6">#REF!</definedName>
    <definedName name="ContrapressãoDesenvolvidaSímbolo" localSheetId="7">#REF!</definedName>
    <definedName name="ContrapressãoDesenvolvidaSímbolo" localSheetId="8">#REF!</definedName>
    <definedName name="ContrapressãoDesenvolvidaSímbolo" localSheetId="9">#REF!</definedName>
    <definedName name="ContrapressãoDesenvolvidaSímbolo" localSheetId="10">#REF!</definedName>
    <definedName name="ContrapressãoDesenvolvidaSímbolo" localSheetId="11">#REF!</definedName>
    <definedName name="ContrapressãoDesenvolvidaSímbolo" localSheetId="12">#REF!</definedName>
    <definedName name="ContrapressãoDesenvolvidaSímbolo" localSheetId="13">#REF!</definedName>
    <definedName name="ContrapressãoDesenvolvidaSímbolo" localSheetId="14">#REF!</definedName>
    <definedName name="ContrapressãoDesenvolvidaSímbolo" localSheetId="15">#REF!</definedName>
    <definedName name="ContrapressãoDesenvolvidaTítulo" localSheetId="4">#REF!</definedName>
    <definedName name="ContrapressãoDesenvolvidaTítulo" localSheetId="5">#REF!</definedName>
    <definedName name="ContrapressãoDesenvolvidaTítulo" localSheetId="6">#REF!</definedName>
    <definedName name="ContrapressãoDesenvolvidaTítulo" localSheetId="7">#REF!</definedName>
    <definedName name="ContrapressãoDesenvolvidaTítulo" localSheetId="8">#REF!</definedName>
    <definedName name="ContrapressãoDesenvolvidaTítulo" localSheetId="9">#REF!</definedName>
    <definedName name="ContrapressãoDesenvolvidaTítulo" localSheetId="10">#REF!</definedName>
    <definedName name="ContrapressãoDesenvolvidaTítulo" localSheetId="11">#REF!</definedName>
    <definedName name="ContrapressãoDesenvolvidaTítulo" localSheetId="12">#REF!</definedName>
    <definedName name="ContrapressãoDesenvolvidaTítulo" localSheetId="13">#REF!</definedName>
    <definedName name="ContrapressãoDesenvolvidaTítulo" localSheetId="14">#REF!</definedName>
    <definedName name="ContrapressãoDesenvolvidaTítulo" localSheetId="15">#REF!</definedName>
    <definedName name="ContrapressãoSímbolo" localSheetId="4">#REF!</definedName>
    <definedName name="ContrapressãoSímbolo" localSheetId="5">#REF!</definedName>
    <definedName name="ContrapressãoSímbolo" localSheetId="6">#REF!</definedName>
    <definedName name="ContrapressãoSímbolo" localSheetId="7">#REF!</definedName>
    <definedName name="ContrapressãoSímbolo" localSheetId="8">#REF!</definedName>
    <definedName name="ContrapressãoSímbolo" localSheetId="9">#REF!</definedName>
    <definedName name="ContrapressãoSímbolo" localSheetId="10">#REF!</definedName>
    <definedName name="ContrapressãoSímbolo" localSheetId="11">#REF!</definedName>
    <definedName name="ContrapressãoSímbolo" localSheetId="12">#REF!</definedName>
    <definedName name="ContrapressãoSímbolo" localSheetId="13">#REF!</definedName>
    <definedName name="ContrapressãoSímbolo" localSheetId="14">#REF!</definedName>
    <definedName name="ContrapressãoSímbolo" localSheetId="15">#REF!</definedName>
    <definedName name="ContrapressãoSuperimpostaSímbolo" localSheetId="4">#REF!</definedName>
    <definedName name="ContrapressãoSuperimpostaSímbolo" localSheetId="5">#REF!</definedName>
    <definedName name="ContrapressãoSuperimpostaSímbolo" localSheetId="6">#REF!</definedName>
    <definedName name="ContrapressãoSuperimpostaSímbolo" localSheetId="7">#REF!</definedName>
    <definedName name="ContrapressãoSuperimpostaSímbolo" localSheetId="8">#REF!</definedName>
    <definedName name="ContrapressãoSuperimpostaSímbolo" localSheetId="9">#REF!</definedName>
    <definedName name="ContrapressãoSuperimpostaSímbolo" localSheetId="10">#REF!</definedName>
    <definedName name="ContrapressãoSuperimpostaSímbolo" localSheetId="11">#REF!</definedName>
    <definedName name="ContrapressãoSuperimpostaSímbolo" localSheetId="12">#REF!</definedName>
    <definedName name="ContrapressãoSuperimpostaSímbolo" localSheetId="13">#REF!</definedName>
    <definedName name="ContrapressãoSuperimpostaSímbolo" localSheetId="14">#REF!</definedName>
    <definedName name="ContrapressãoSuperimpostaSímbolo" localSheetId="15">#REF!</definedName>
    <definedName name="ContrapressãoSuperimpostaTítulo" localSheetId="4">#REF!</definedName>
    <definedName name="ContrapressãoSuperimpostaTítulo" localSheetId="5">#REF!</definedName>
    <definedName name="ContrapressãoSuperimpostaTítulo" localSheetId="6">#REF!</definedName>
    <definedName name="ContrapressãoSuperimpostaTítulo" localSheetId="7">#REF!</definedName>
    <definedName name="ContrapressãoSuperimpostaTítulo" localSheetId="8">#REF!</definedName>
    <definedName name="ContrapressãoSuperimpostaTítulo" localSheetId="9">#REF!</definedName>
    <definedName name="ContrapressãoSuperimpostaTítulo" localSheetId="10">#REF!</definedName>
    <definedName name="ContrapressãoSuperimpostaTítulo" localSheetId="11">#REF!</definedName>
    <definedName name="ContrapressãoSuperimpostaTítulo" localSheetId="12">#REF!</definedName>
    <definedName name="ContrapressãoSuperimpostaTítulo" localSheetId="13">#REF!</definedName>
    <definedName name="ContrapressãoSuperimpostaTítulo" localSheetId="14">#REF!</definedName>
    <definedName name="ContrapressãoSuperimpostaTítulo" localSheetId="15">#REF!</definedName>
    <definedName name="ContrapressãoTítulo" localSheetId="4">#REF!</definedName>
    <definedName name="ContrapressãoTítulo" localSheetId="5">#REF!</definedName>
    <definedName name="ContrapressãoTítulo" localSheetId="6">#REF!</definedName>
    <definedName name="ContrapressãoTítulo" localSheetId="7">#REF!</definedName>
    <definedName name="ContrapressãoTítulo" localSheetId="8">#REF!</definedName>
    <definedName name="ContrapressãoTítulo" localSheetId="9">#REF!</definedName>
    <definedName name="ContrapressãoTítulo" localSheetId="10">#REF!</definedName>
    <definedName name="ContrapressãoTítulo" localSheetId="11">#REF!</definedName>
    <definedName name="ContrapressãoTítulo" localSheetId="12">#REF!</definedName>
    <definedName name="ContrapressãoTítulo" localSheetId="13">#REF!</definedName>
    <definedName name="ContrapressãoTítulo" localSheetId="14">#REF!</definedName>
    <definedName name="ContrapressãoTítulo" localSheetId="15">#REF!</definedName>
    <definedName name="ContrapressãoVariávelMaxSímbolo" localSheetId="4">#REF!</definedName>
    <definedName name="ContrapressãoVariávelMaxSímbolo" localSheetId="5">#REF!</definedName>
    <definedName name="ContrapressãoVariávelMaxSímbolo" localSheetId="6">#REF!</definedName>
    <definedName name="ContrapressãoVariávelMaxSímbolo" localSheetId="7">#REF!</definedName>
    <definedName name="ContrapressãoVariávelMaxSímbolo" localSheetId="8">#REF!</definedName>
    <definedName name="ContrapressãoVariávelMaxSímbolo" localSheetId="9">#REF!</definedName>
    <definedName name="ContrapressãoVariávelMaxSímbolo" localSheetId="10">#REF!</definedName>
    <definedName name="ContrapressãoVariávelMaxSímbolo" localSheetId="11">#REF!</definedName>
    <definedName name="ContrapressãoVariávelMaxSímbolo" localSheetId="12">#REF!</definedName>
    <definedName name="ContrapressãoVariávelMaxSímbolo" localSheetId="13">#REF!</definedName>
    <definedName name="ContrapressãoVariávelMaxSímbolo" localSheetId="14">#REF!</definedName>
    <definedName name="ContrapressãoVariávelMaxSímbolo" localSheetId="15">#REF!</definedName>
    <definedName name="ContrapressãoVariávelMaxTítulo" localSheetId="4">#REF!</definedName>
    <definedName name="ContrapressãoVariávelMaxTítulo" localSheetId="5">#REF!</definedName>
    <definedName name="ContrapressãoVariávelMaxTítulo" localSheetId="6">#REF!</definedName>
    <definedName name="ContrapressãoVariávelMaxTítulo" localSheetId="7">#REF!</definedName>
    <definedName name="ContrapressãoVariávelMaxTítulo" localSheetId="8">#REF!</definedName>
    <definedName name="ContrapressãoVariávelMaxTítulo" localSheetId="9">#REF!</definedName>
    <definedName name="ContrapressãoVariávelMaxTítulo" localSheetId="10">#REF!</definedName>
    <definedName name="ContrapressãoVariávelMaxTítulo" localSheetId="11">#REF!</definedName>
    <definedName name="ContrapressãoVariávelMaxTítulo" localSheetId="12">#REF!</definedName>
    <definedName name="ContrapressãoVariávelMaxTítulo" localSheetId="13">#REF!</definedName>
    <definedName name="ContrapressãoVariávelMaxTítulo" localSheetId="14">#REF!</definedName>
    <definedName name="ContrapressãoVariávelMaxTítulo" localSheetId="15">#REF!</definedName>
    <definedName name="ContrapressãoVariávelMinSímbolo" localSheetId="4">#REF!</definedName>
    <definedName name="ContrapressãoVariávelMinSímbolo" localSheetId="5">#REF!</definedName>
    <definedName name="ContrapressãoVariávelMinSímbolo" localSheetId="6">#REF!</definedName>
    <definedName name="ContrapressãoVariávelMinSímbolo" localSheetId="7">#REF!</definedName>
    <definedName name="ContrapressãoVariávelMinSímbolo" localSheetId="8">#REF!</definedName>
    <definedName name="ContrapressãoVariávelMinSímbolo" localSheetId="9">#REF!</definedName>
    <definedName name="ContrapressãoVariávelMinSímbolo" localSheetId="10">#REF!</definedName>
    <definedName name="ContrapressãoVariávelMinSímbolo" localSheetId="11">#REF!</definedName>
    <definedName name="ContrapressãoVariávelMinSímbolo" localSheetId="12">#REF!</definedName>
    <definedName name="ContrapressãoVariávelMinSímbolo" localSheetId="13">#REF!</definedName>
    <definedName name="ContrapressãoVariávelMinSímbolo" localSheetId="14">#REF!</definedName>
    <definedName name="ContrapressãoVariávelMinSímbolo" localSheetId="15">#REF!</definedName>
    <definedName name="ContrapressãoVariávelMinTítulo" localSheetId="4">#REF!</definedName>
    <definedName name="ContrapressãoVariávelMinTítulo" localSheetId="5">#REF!</definedName>
    <definedName name="ContrapressãoVariávelMinTítulo" localSheetId="6">#REF!</definedName>
    <definedName name="ContrapressãoVariávelMinTítulo" localSheetId="7">#REF!</definedName>
    <definedName name="ContrapressãoVariávelMinTítulo" localSheetId="8">#REF!</definedName>
    <definedName name="ContrapressãoVariávelMinTítulo" localSheetId="9">#REF!</definedName>
    <definedName name="ContrapressãoVariávelMinTítulo" localSheetId="10">#REF!</definedName>
    <definedName name="ContrapressãoVariávelMinTítulo" localSheetId="11">#REF!</definedName>
    <definedName name="ContrapressãoVariávelMinTítulo" localSheetId="12">#REF!</definedName>
    <definedName name="ContrapressãoVariávelMinTítulo" localSheetId="13">#REF!</definedName>
    <definedName name="ContrapressãoVariávelMinTítulo" localSheetId="14">#REF!</definedName>
    <definedName name="ContrapressãoVariávelMinTítulo" localSheetId="15">#REF!</definedName>
    <definedName name="CPdValue" localSheetId="4">#REF!</definedName>
    <definedName name="CPdValue" localSheetId="5">#REF!</definedName>
    <definedName name="CPdValue" localSheetId="6">#REF!</definedName>
    <definedName name="CPdValue" localSheetId="7">#REF!</definedName>
    <definedName name="CPdValue" localSheetId="8">#REF!</definedName>
    <definedName name="CPdValue" localSheetId="9">#REF!</definedName>
    <definedName name="CPdValue" localSheetId="10">#REF!</definedName>
    <definedName name="CPdValue" localSheetId="11">#REF!</definedName>
    <definedName name="CPdValue" localSheetId="12">#REF!</definedName>
    <definedName name="CPdValue" localSheetId="13">#REF!</definedName>
    <definedName name="CPdValue" localSheetId="14">#REF!</definedName>
    <definedName name="CPdValue" localSheetId="15">#REF!</definedName>
    <definedName name="CPsValue" localSheetId="4">#REF!</definedName>
    <definedName name="CPsValue" localSheetId="5">#REF!</definedName>
    <definedName name="CPsValue" localSheetId="6">#REF!</definedName>
    <definedName name="CPsValue" localSheetId="7">#REF!</definedName>
    <definedName name="CPsValue" localSheetId="8">#REF!</definedName>
    <definedName name="CPsValue" localSheetId="9">#REF!</definedName>
    <definedName name="CPsValue" localSheetId="10">#REF!</definedName>
    <definedName name="CPsValue" localSheetId="11">#REF!</definedName>
    <definedName name="CPsValue" localSheetId="12">#REF!</definedName>
    <definedName name="CPsValue" localSheetId="13">#REF!</definedName>
    <definedName name="CPsValue" localSheetId="14">#REF!</definedName>
    <definedName name="CPsValue" localSheetId="15">#REF!</definedName>
    <definedName name="CPValue" localSheetId="4">#REF!</definedName>
    <definedName name="CPValue" localSheetId="5">#REF!</definedName>
    <definedName name="CPValue" localSheetId="6">#REF!</definedName>
    <definedName name="CPValue" localSheetId="7">#REF!</definedName>
    <definedName name="CPValue" localSheetId="8">#REF!</definedName>
    <definedName name="CPValue" localSheetId="9">#REF!</definedName>
    <definedName name="CPValue" localSheetId="10">#REF!</definedName>
    <definedName name="CPValue" localSheetId="11">#REF!</definedName>
    <definedName name="CPValue" localSheetId="12">#REF!</definedName>
    <definedName name="CPValue" localSheetId="13">#REF!</definedName>
    <definedName name="CPValue" localSheetId="14">#REF!</definedName>
    <definedName name="CPValue" localSheetId="15">#REF!</definedName>
    <definedName name="CPvValue" localSheetId="4">#REF!</definedName>
    <definedName name="CPvValue" localSheetId="5">#REF!</definedName>
    <definedName name="CPvValue" localSheetId="6">#REF!</definedName>
    <definedName name="CPvValue" localSheetId="7">#REF!</definedName>
    <definedName name="CPvValue" localSheetId="8">#REF!</definedName>
    <definedName name="CPvValue" localSheetId="9">#REF!</definedName>
    <definedName name="CPvValue" localSheetId="10">#REF!</definedName>
    <definedName name="CPvValue" localSheetId="11">#REF!</definedName>
    <definedName name="CPvValue" localSheetId="12">#REF!</definedName>
    <definedName name="CPvValue" localSheetId="13">#REF!</definedName>
    <definedName name="CPvValue" localSheetId="14">#REF!</definedName>
    <definedName name="CPvValue" localSheetId="15">#REF!</definedName>
    <definedName name="CPvValueMáx" localSheetId="4">#REF!</definedName>
    <definedName name="CPvValueMáx" localSheetId="5">#REF!</definedName>
    <definedName name="CPvValueMáx" localSheetId="6">#REF!</definedName>
    <definedName name="CPvValueMáx" localSheetId="7">#REF!</definedName>
    <definedName name="CPvValueMáx" localSheetId="8">#REF!</definedName>
    <definedName name="CPvValueMáx" localSheetId="9">#REF!</definedName>
    <definedName name="CPvValueMáx" localSheetId="10">#REF!</definedName>
    <definedName name="CPvValueMáx" localSheetId="11">#REF!</definedName>
    <definedName name="CPvValueMáx" localSheetId="12">#REF!</definedName>
    <definedName name="CPvValueMáx" localSheetId="13">#REF!</definedName>
    <definedName name="CPvValueMáx" localSheetId="14">#REF!</definedName>
    <definedName name="CPvValueMáx" localSheetId="15">#REF!</definedName>
    <definedName name="CPvValueMín" localSheetId="4">#REF!</definedName>
    <definedName name="CPvValueMín" localSheetId="5">#REF!</definedName>
    <definedName name="CPvValueMín" localSheetId="6">#REF!</definedName>
    <definedName name="CPvValueMín" localSheetId="7">#REF!</definedName>
    <definedName name="CPvValueMín" localSheetId="8">#REF!</definedName>
    <definedName name="CPvValueMín" localSheetId="9">#REF!</definedName>
    <definedName name="CPvValueMín" localSheetId="10">#REF!</definedName>
    <definedName name="CPvValueMín" localSheetId="11">#REF!</definedName>
    <definedName name="CPvValueMín" localSheetId="12">#REF!</definedName>
    <definedName name="CPvValueMín" localSheetId="13">#REF!</definedName>
    <definedName name="CPvValueMín" localSheetId="14">#REF!</definedName>
    <definedName name="CPvValueMín" localSheetId="15">#REF!</definedName>
    <definedName name="CritérioSeleção" localSheetId="4">#REF!</definedName>
    <definedName name="CritérioSeleção" localSheetId="5">#REF!</definedName>
    <definedName name="CritérioSeleção" localSheetId="6">#REF!</definedName>
    <definedName name="CritérioSeleção" localSheetId="7">#REF!</definedName>
    <definedName name="CritérioSeleção" localSheetId="8">#REF!</definedName>
    <definedName name="CritérioSeleção" localSheetId="9">#REF!</definedName>
    <definedName name="CritérioSeleção" localSheetId="10">#REF!</definedName>
    <definedName name="CritérioSeleção" localSheetId="11">#REF!</definedName>
    <definedName name="CritérioSeleção" localSheetId="12">#REF!</definedName>
    <definedName name="CritérioSeleção" localSheetId="13">#REF!</definedName>
    <definedName name="CritérioSeleção" localSheetId="14">#REF!</definedName>
    <definedName name="CritérioSeleção" localSheetId="15">#REF!</definedName>
    <definedName name="CritérioSeleçãoTítulo" localSheetId="4">#REF!</definedName>
    <definedName name="CritérioSeleçãoTítulo" localSheetId="5">#REF!</definedName>
    <definedName name="CritérioSeleçãoTítulo" localSheetId="6">#REF!</definedName>
    <definedName name="CritérioSeleçãoTítulo" localSheetId="7">#REF!</definedName>
    <definedName name="CritérioSeleçãoTítulo" localSheetId="8">#REF!</definedName>
    <definedName name="CritérioSeleçãoTítulo" localSheetId="9">#REF!</definedName>
    <definedName name="CritérioSeleçãoTítulo" localSheetId="10">#REF!</definedName>
    <definedName name="CritérioSeleçãoTítulo" localSheetId="11">#REF!</definedName>
    <definedName name="CritérioSeleçãoTítulo" localSheetId="12">#REF!</definedName>
    <definedName name="CritérioSeleçãoTítulo" localSheetId="13">#REF!</definedName>
    <definedName name="CritérioSeleçãoTítulo" localSheetId="14">#REF!</definedName>
    <definedName name="CritérioSeleçãoTítulo" localSheetId="15">#REF!</definedName>
    <definedName name="DensidadeGásTítulo" localSheetId="4">#REF!</definedName>
    <definedName name="DensidadeGásTítulo" localSheetId="5">#REF!</definedName>
    <definedName name="DensidadeGásTítulo" localSheetId="6">#REF!</definedName>
    <definedName name="DensidadeGásTítulo" localSheetId="7">#REF!</definedName>
    <definedName name="DensidadeGásTítulo" localSheetId="8">#REF!</definedName>
    <definedName name="DensidadeGásTítulo" localSheetId="9">#REF!</definedName>
    <definedName name="DensidadeGásTítulo" localSheetId="10">#REF!</definedName>
    <definedName name="DensidadeGásTítulo" localSheetId="11">#REF!</definedName>
    <definedName name="DensidadeGásTítulo" localSheetId="12">#REF!</definedName>
    <definedName name="DensidadeGásTítulo" localSheetId="13">#REF!</definedName>
    <definedName name="DensidadeGásTítulo" localSheetId="14">#REF!</definedName>
    <definedName name="DensidadeGásTítulo" localSheetId="15">#REF!</definedName>
    <definedName name="DensidadeLíquidoTítulo" localSheetId="4">#REF!</definedName>
    <definedName name="DensidadeLíquidoTítulo" localSheetId="5">#REF!</definedName>
    <definedName name="DensidadeLíquidoTítulo" localSheetId="6">#REF!</definedName>
    <definedName name="DensidadeLíquidoTítulo" localSheetId="7">#REF!</definedName>
    <definedName name="DensidadeLíquidoTítulo" localSheetId="8">#REF!</definedName>
    <definedName name="DensidadeLíquidoTítulo" localSheetId="9">#REF!</definedName>
    <definedName name="DensidadeLíquidoTítulo" localSheetId="10">#REF!</definedName>
    <definedName name="DensidadeLíquidoTítulo" localSheetId="11">#REF!</definedName>
    <definedName name="DensidadeLíquidoTítulo" localSheetId="12">#REF!</definedName>
    <definedName name="DensidadeLíquidoTítulo" localSheetId="13">#REF!</definedName>
    <definedName name="DensidadeLíquidoTítulo" localSheetId="14">#REF!</definedName>
    <definedName name="DensidadeLíquidoTítulo" localSheetId="15">#REF!</definedName>
    <definedName name="Elaboração" localSheetId="4">#REF!</definedName>
    <definedName name="Elaboração" localSheetId="5">#REF!</definedName>
    <definedName name="Elaboração" localSheetId="6">#REF!</definedName>
    <definedName name="Elaboração" localSheetId="7">#REF!</definedName>
    <definedName name="Elaboração" localSheetId="8">#REF!</definedName>
    <definedName name="Elaboração" localSheetId="9">#REF!</definedName>
    <definedName name="Elaboração" localSheetId="10">#REF!</definedName>
    <definedName name="Elaboração" localSheetId="11">#REF!</definedName>
    <definedName name="Elaboração" localSheetId="12">#REF!</definedName>
    <definedName name="Elaboração" localSheetId="13">#REF!</definedName>
    <definedName name="Elaboração" localSheetId="14">#REF!</definedName>
    <definedName name="Elaboração" localSheetId="15">#REF!</definedName>
    <definedName name="ElaboradoPor" localSheetId="4">#REF!</definedName>
    <definedName name="ElaboradoPor" localSheetId="5">#REF!</definedName>
    <definedName name="ElaboradoPor" localSheetId="6">#REF!</definedName>
    <definedName name="ElaboradoPor" localSheetId="7">#REF!</definedName>
    <definedName name="ElaboradoPor" localSheetId="8">#REF!</definedName>
    <definedName name="ElaboradoPor" localSheetId="9">#REF!</definedName>
    <definedName name="ElaboradoPor" localSheetId="10">#REF!</definedName>
    <definedName name="ElaboradoPor" localSheetId="11">#REF!</definedName>
    <definedName name="ElaboradoPor" localSheetId="12">#REF!</definedName>
    <definedName name="ElaboradoPor" localSheetId="13">#REF!</definedName>
    <definedName name="ElaboradoPor" localSheetId="14">#REF!</definedName>
    <definedName name="ElaboradoPor" localSheetId="15">#REF!</definedName>
    <definedName name="EMail" localSheetId="4">#REF!</definedName>
    <definedName name="EMail" localSheetId="5">#REF!</definedName>
    <definedName name="EMail" localSheetId="6">#REF!</definedName>
    <definedName name="EMail" localSheetId="7">#REF!</definedName>
    <definedName name="EMail" localSheetId="8">#REF!</definedName>
    <definedName name="EMail" localSheetId="9">#REF!</definedName>
    <definedName name="EMail" localSheetId="10">#REF!</definedName>
    <definedName name="EMail" localSheetId="11">#REF!</definedName>
    <definedName name="EMail" localSheetId="12">#REF!</definedName>
    <definedName name="EMail" localSheetId="13">#REF!</definedName>
    <definedName name="EMail" localSheetId="14">#REF!</definedName>
    <definedName name="EMail" localSheetId="15">#REF!</definedName>
    <definedName name="Empresa" localSheetId="4">#REF!</definedName>
    <definedName name="Empresa" localSheetId="5">#REF!</definedName>
    <definedName name="Empresa" localSheetId="6">#REF!</definedName>
    <definedName name="Empresa" localSheetId="7">#REF!</definedName>
    <definedName name="Empresa" localSheetId="8">#REF!</definedName>
    <definedName name="Empresa" localSheetId="9">#REF!</definedName>
    <definedName name="Empresa" localSheetId="10">#REF!</definedName>
    <definedName name="Empresa" localSheetId="11">#REF!</definedName>
    <definedName name="Empresa" localSheetId="12">#REF!</definedName>
    <definedName name="Empresa" localSheetId="13">#REF!</definedName>
    <definedName name="Empresa" localSheetId="14">#REF!</definedName>
    <definedName name="Empresa" localSheetId="15">#REF!</definedName>
    <definedName name="EmpresaTítulo" localSheetId="4">#REF!</definedName>
    <definedName name="EmpresaTítulo" localSheetId="5">#REF!</definedName>
    <definedName name="EmpresaTítulo" localSheetId="6">#REF!</definedName>
    <definedName name="EmpresaTítulo" localSheetId="7">#REF!</definedName>
    <definedName name="EmpresaTítulo" localSheetId="8">#REF!</definedName>
    <definedName name="EmpresaTítulo" localSheetId="9">#REF!</definedName>
    <definedName name="EmpresaTítulo" localSheetId="10">#REF!</definedName>
    <definedName name="EmpresaTítulo" localSheetId="11">#REF!</definedName>
    <definedName name="EmpresaTítulo" localSheetId="12">#REF!</definedName>
    <definedName name="EmpresaTítulo" localSheetId="13">#REF!</definedName>
    <definedName name="EmpresaTítulo" localSheetId="14">#REF!</definedName>
    <definedName name="EmpresaTítulo" localSheetId="15">#REF!</definedName>
    <definedName name="Equação" localSheetId="4">#REF!</definedName>
    <definedName name="Equação" localSheetId="5">#REF!</definedName>
    <definedName name="Equação" localSheetId="6">#REF!</definedName>
    <definedName name="Equação" localSheetId="7">#REF!</definedName>
    <definedName name="Equação" localSheetId="8">#REF!</definedName>
    <definedName name="Equação" localSheetId="9">#REF!</definedName>
    <definedName name="Equação" localSheetId="10">#REF!</definedName>
    <definedName name="Equação" localSheetId="11">#REF!</definedName>
    <definedName name="Equação" localSheetId="12">#REF!</definedName>
    <definedName name="Equação" localSheetId="13">#REF!</definedName>
    <definedName name="Equação" localSheetId="14">#REF!</definedName>
    <definedName name="Equação" localSheetId="15">#REF!</definedName>
    <definedName name="EquaçãoGases" localSheetId="4">#REF!</definedName>
    <definedName name="EquaçãoGases" localSheetId="5">#REF!</definedName>
    <definedName name="EquaçãoGases" localSheetId="6">#REF!</definedName>
    <definedName name="EquaçãoGases" localSheetId="7">#REF!</definedName>
    <definedName name="EquaçãoGases" localSheetId="8">#REF!</definedName>
    <definedName name="EquaçãoGases" localSheetId="9">#REF!</definedName>
    <definedName name="EquaçãoGases" localSheetId="10">#REF!</definedName>
    <definedName name="EquaçãoGases" localSheetId="11">#REF!</definedName>
    <definedName name="EquaçãoGases" localSheetId="12">#REF!</definedName>
    <definedName name="EquaçãoGases" localSheetId="13">#REF!</definedName>
    <definedName name="EquaçãoGases" localSheetId="14">#REF!</definedName>
    <definedName name="EquaçãoGases" localSheetId="15">#REF!</definedName>
    <definedName name="EquaçãoGasesVaporesTítulo" localSheetId="4">#REF!</definedName>
    <definedName name="EquaçãoGasesVaporesTítulo" localSheetId="5">#REF!</definedName>
    <definedName name="EquaçãoGasesVaporesTítulo" localSheetId="6">#REF!</definedName>
    <definedName name="EquaçãoGasesVaporesTítulo" localSheetId="7">#REF!</definedName>
    <definedName name="EquaçãoGasesVaporesTítulo" localSheetId="8">#REF!</definedName>
    <definedName name="EquaçãoGasesVaporesTítulo" localSheetId="9">#REF!</definedName>
    <definedName name="EquaçãoGasesVaporesTítulo" localSheetId="10">#REF!</definedName>
    <definedName name="EquaçãoGasesVaporesTítulo" localSheetId="11">#REF!</definedName>
    <definedName name="EquaçãoGasesVaporesTítulo" localSheetId="12">#REF!</definedName>
    <definedName name="EquaçãoGasesVaporesTítulo" localSheetId="13">#REF!</definedName>
    <definedName name="EquaçãoGasesVaporesTítulo" localSheetId="14">#REF!</definedName>
    <definedName name="EquaçãoGasesVaporesTítulo" localSheetId="15">#REF!</definedName>
    <definedName name="EquaçãoLíquido" localSheetId="4">#REF!</definedName>
    <definedName name="EquaçãoLíquido" localSheetId="5">#REF!</definedName>
    <definedName name="EquaçãoLíquido" localSheetId="6">#REF!</definedName>
    <definedName name="EquaçãoLíquido" localSheetId="7">#REF!</definedName>
    <definedName name="EquaçãoLíquido" localSheetId="8">#REF!</definedName>
    <definedName name="EquaçãoLíquido" localSheetId="9">#REF!</definedName>
    <definedName name="EquaçãoLíquido" localSheetId="10">#REF!</definedName>
    <definedName name="EquaçãoLíquido" localSheetId="11">#REF!</definedName>
    <definedName name="EquaçãoLíquido" localSheetId="12">#REF!</definedName>
    <definedName name="EquaçãoLíquido" localSheetId="13">#REF!</definedName>
    <definedName name="EquaçãoLíquido" localSheetId="14">#REF!</definedName>
    <definedName name="EquaçãoLíquido" localSheetId="15">#REF!</definedName>
    <definedName name="EquaçãoLíquidosTítulo" localSheetId="4">#REF!</definedName>
    <definedName name="EquaçãoLíquidosTítulo" localSheetId="5">#REF!</definedName>
    <definedName name="EquaçãoLíquidosTítulo" localSheetId="6">#REF!</definedName>
    <definedName name="EquaçãoLíquidosTítulo" localSheetId="7">#REF!</definedName>
    <definedName name="EquaçãoLíquidosTítulo" localSheetId="8">#REF!</definedName>
    <definedName name="EquaçãoLíquidosTítulo" localSheetId="9">#REF!</definedName>
    <definedName name="EquaçãoLíquidosTítulo" localSheetId="10">#REF!</definedName>
    <definedName name="EquaçãoLíquidosTítulo" localSheetId="11">#REF!</definedName>
    <definedName name="EquaçãoLíquidosTítulo" localSheetId="12">#REF!</definedName>
    <definedName name="EquaçãoLíquidosTítulo" localSheetId="13">#REF!</definedName>
    <definedName name="EquaçãoLíquidosTítulo" localSheetId="14">#REF!</definedName>
    <definedName name="EquaçãoLíquidosTítulo" localSheetId="15">#REF!</definedName>
    <definedName name="EquaçãoLíquidoSubcrítico" localSheetId="4">#REF!</definedName>
    <definedName name="EquaçãoLíquidoSubcrítico" localSheetId="5">#REF!</definedName>
    <definedName name="EquaçãoLíquidoSubcrítico" localSheetId="6">#REF!</definedName>
    <definedName name="EquaçãoLíquidoSubcrítico" localSheetId="7">#REF!</definedName>
    <definedName name="EquaçãoLíquidoSubcrítico" localSheetId="8">#REF!</definedName>
    <definedName name="EquaçãoLíquidoSubcrítico" localSheetId="9">#REF!</definedName>
    <definedName name="EquaçãoLíquidoSubcrítico" localSheetId="10">#REF!</definedName>
    <definedName name="EquaçãoLíquidoSubcrítico" localSheetId="11">#REF!</definedName>
    <definedName name="EquaçãoLíquidoSubcrítico" localSheetId="12">#REF!</definedName>
    <definedName name="EquaçãoLíquidoSubcrítico" localSheetId="13">#REF!</definedName>
    <definedName name="EquaçãoLíquidoSubcrítico" localSheetId="14">#REF!</definedName>
    <definedName name="EquaçãoLíquidoSubcrítico" localSheetId="15">#REF!</definedName>
    <definedName name="EstadoFísico" localSheetId="4">#REF!</definedName>
    <definedName name="EstadoFísico" localSheetId="5">#REF!</definedName>
    <definedName name="EstadoFísico" localSheetId="6">#REF!</definedName>
    <definedName name="EstadoFísico" localSheetId="7">#REF!</definedName>
    <definedName name="EstadoFísico" localSheetId="8">#REF!</definedName>
    <definedName name="EstadoFísico" localSheetId="9">#REF!</definedName>
    <definedName name="EstadoFísico" localSheetId="10">#REF!</definedName>
    <definedName name="EstadoFísico" localSheetId="11">#REF!</definedName>
    <definedName name="EstadoFísico" localSheetId="12">#REF!</definedName>
    <definedName name="EstadoFísico" localSheetId="13">#REF!</definedName>
    <definedName name="EstadoFísico" localSheetId="14">#REF!</definedName>
    <definedName name="EstadoFísico" localSheetId="15">#REF!</definedName>
    <definedName name="EstadoFísicoTítulo" localSheetId="4">#REF!</definedName>
    <definedName name="EstadoFísicoTítulo" localSheetId="5">#REF!</definedName>
    <definedName name="EstadoFísicoTítulo" localSheetId="6">#REF!</definedName>
    <definedName name="EstadoFísicoTítulo" localSheetId="7">#REF!</definedName>
    <definedName name="EstadoFísicoTítulo" localSheetId="8">#REF!</definedName>
    <definedName name="EstadoFísicoTítulo" localSheetId="9">#REF!</definedName>
    <definedName name="EstadoFísicoTítulo" localSheetId="10">#REF!</definedName>
    <definedName name="EstadoFísicoTítulo" localSheetId="11">#REF!</definedName>
    <definedName name="EstadoFísicoTítulo" localSheetId="12">#REF!</definedName>
    <definedName name="EstadoFísicoTítulo" localSheetId="13">#REF!</definedName>
    <definedName name="EstadoFísicoTítulo" localSheetId="14">#REF!</definedName>
    <definedName name="EstadoFísicoTítulo" localSheetId="15">#REF!</definedName>
    <definedName name="Fabricante" localSheetId="4">#REF!</definedName>
    <definedName name="Fabricante" localSheetId="5">#REF!</definedName>
    <definedName name="Fabricante" localSheetId="6">#REF!</definedName>
    <definedName name="Fabricante" localSheetId="7">#REF!</definedName>
    <definedName name="Fabricante" localSheetId="8">#REF!</definedName>
    <definedName name="Fabricante" localSheetId="9">#REF!</definedName>
    <definedName name="Fabricante" localSheetId="10">#REF!</definedName>
    <definedName name="Fabricante" localSheetId="11">#REF!</definedName>
    <definedName name="Fabricante" localSheetId="12">#REF!</definedName>
    <definedName name="Fabricante" localSheetId="13">#REF!</definedName>
    <definedName name="Fabricante" localSheetId="14">#REF!</definedName>
    <definedName name="Fabricante" localSheetId="15">#REF!</definedName>
    <definedName name="FatorCompressibilidadeTítulo" localSheetId="4">#REF!</definedName>
    <definedName name="FatorCompressibilidadeTítulo" localSheetId="5">#REF!</definedName>
    <definedName name="FatorCompressibilidadeTítulo" localSheetId="6">#REF!</definedName>
    <definedName name="FatorCompressibilidadeTítulo" localSheetId="7">#REF!</definedName>
    <definedName name="FatorCompressibilidadeTítulo" localSheetId="8">#REF!</definedName>
    <definedName name="FatorCompressibilidadeTítulo" localSheetId="9">#REF!</definedName>
    <definedName name="FatorCompressibilidadeTítulo" localSheetId="10">#REF!</definedName>
    <definedName name="FatorCompressibilidadeTítulo" localSheetId="11">#REF!</definedName>
    <definedName name="FatorCompressibilidadeTítulo" localSheetId="12">#REF!</definedName>
    <definedName name="FatorCompressibilidadeTítulo" localSheetId="13">#REF!</definedName>
    <definedName name="FatorCompressibilidadeTítulo" localSheetId="14">#REF!</definedName>
    <definedName name="FatorCompressibilidadeTítulo" localSheetId="15">#REF!</definedName>
    <definedName name="FlowGasVaporValue" localSheetId="4">#REF!</definedName>
    <definedName name="FlowGasVaporValue" localSheetId="5">#REF!</definedName>
    <definedName name="FlowGasVaporValue" localSheetId="6">#REF!</definedName>
    <definedName name="FlowGasVaporValue" localSheetId="7">#REF!</definedName>
    <definedName name="FlowGasVaporValue" localSheetId="8">#REF!</definedName>
    <definedName name="FlowGasVaporValue" localSheetId="9">#REF!</definedName>
    <definedName name="FlowGasVaporValue" localSheetId="10">#REF!</definedName>
    <definedName name="FlowGasVaporValue" localSheetId="11">#REF!</definedName>
    <definedName name="FlowGasVaporValue" localSheetId="12">#REF!</definedName>
    <definedName name="FlowGasVaporValue" localSheetId="13">#REF!</definedName>
    <definedName name="FlowGasVaporValue" localSheetId="14">#REF!</definedName>
    <definedName name="FlowGasVaporValue" localSheetId="15">#REF!</definedName>
    <definedName name="FlowLiquidValue" localSheetId="4">#REF!</definedName>
    <definedName name="FlowLiquidValue" localSheetId="5">#REF!</definedName>
    <definedName name="FlowLiquidValue" localSheetId="6">#REF!</definedName>
    <definedName name="FlowLiquidValue" localSheetId="7">#REF!</definedName>
    <definedName name="FlowLiquidValue" localSheetId="8">#REF!</definedName>
    <definedName name="FlowLiquidValue" localSheetId="9">#REF!</definedName>
    <definedName name="FlowLiquidValue" localSheetId="10">#REF!</definedName>
    <definedName name="FlowLiquidValue" localSheetId="11">#REF!</definedName>
    <definedName name="FlowLiquidValue" localSheetId="12">#REF!</definedName>
    <definedName name="FlowLiquidValue" localSheetId="13">#REF!</definedName>
    <definedName name="FlowLiquidValue" localSheetId="14">#REF!</definedName>
    <definedName name="FlowLiquidValue" localSheetId="15">#REF!</definedName>
    <definedName name="Fluido" localSheetId="4">#REF!</definedName>
    <definedName name="Fluido" localSheetId="5">#REF!</definedName>
    <definedName name="Fluido" localSheetId="6">#REF!</definedName>
    <definedName name="Fluido" localSheetId="7">#REF!</definedName>
    <definedName name="Fluido" localSheetId="8">#REF!</definedName>
    <definedName name="Fluido" localSheetId="9">#REF!</definedName>
    <definedName name="Fluido" localSheetId="10">#REF!</definedName>
    <definedName name="Fluido" localSheetId="11">#REF!</definedName>
    <definedName name="Fluido" localSheetId="12">#REF!</definedName>
    <definedName name="Fluido" localSheetId="13">#REF!</definedName>
    <definedName name="Fluido" localSheetId="14">#REF!</definedName>
    <definedName name="Fluido" localSheetId="15">#REF!</definedName>
    <definedName name="FluídoTítulo" localSheetId="4">#REF!</definedName>
    <definedName name="FluídoTítulo" localSheetId="5">#REF!</definedName>
    <definedName name="FluídoTítulo" localSheetId="6">#REF!</definedName>
    <definedName name="FluídoTítulo" localSheetId="7">#REF!</definedName>
    <definedName name="FluídoTítulo" localSheetId="8">#REF!</definedName>
    <definedName name="FluídoTítulo" localSheetId="9">#REF!</definedName>
    <definedName name="FluídoTítulo" localSheetId="10">#REF!</definedName>
    <definedName name="FluídoTítulo" localSheetId="11">#REF!</definedName>
    <definedName name="FluídoTítulo" localSheetId="12">#REF!</definedName>
    <definedName name="FluídoTítulo" localSheetId="13">#REF!</definedName>
    <definedName name="FluídoTítulo" localSheetId="14">#REF!</definedName>
    <definedName name="FluídoTítulo" localSheetId="15">#REF!</definedName>
    <definedName name="FolhaDados" localSheetId="4">#REF!</definedName>
    <definedName name="FolhaDados" localSheetId="5">#REF!</definedName>
    <definedName name="FolhaDados" localSheetId="6">#REF!</definedName>
    <definedName name="FolhaDados" localSheetId="7">#REF!</definedName>
    <definedName name="FolhaDados" localSheetId="8">#REF!</definedName>
    <definedName name="FolhaDados" localSheetId="9">#REF!</definedName>
    <definedName name="FolhaDados" localSheetId="10">#REF!</definedName>
    <definedName name="FolhaDados" localSheetId="11">#REF!</definedName>
    <definedName name="FolhaDados" localSheetId="12">#REF!</definedName>
    <definedName name="FolhaDados" localSheetId="13">#REF!</definedName>
    <definedName name="FolhaDados" localSheetId="14">#REF!</definedName>
    <definedName name="FolhaDados" localSheetId="15">#REF!</definedName>
    <definedName name="Função" localSheetId="4">#REF!</definedName>
    <definedName name="Função" localSheetId="5">#REF!</definedName>
    <definedName name="Função" localSheetId="6">#REF!</definedName>
    <definedName name="Função" localSheetId="7">#REF!</definedName>
    <definedName name="Função" localSheetId="8">#REF!</definedName>
    <definedName name="Função" localSheetId="9">#REF!</definedName>
    <definedName name="Função" localSheetId="10">#REF!</definedName>
    <definedName name="Função" localSheetId="11">#REF!</definedName>
    <definedName name="Função" localSheetId="12">#REF!</definedName>
    <definedName name="Função" localSheetId="13">#REF!</definedName>
    <definedName name="Função" localSheetId="14">#REF!</definedName>
    <definedName name="Função" localSheetId="15">#REF!</definedName>
    <definedName name="GásDescrição1" localSheetId="4">#REF!</definedName>
    <definedName name="GásDescrição1" localSheetId="5">#REF!</definedName>
    <definedName name="GásDescrição1" localSheetId="6">#REF!</definedName>
    <definedName name="GásDescrição1" localSheetId="7">#REF!</definedName>
    <definedName name="GásDescrição1" localSheetId="8">#REF!</definedName>
    <definedName name="GásDescrição1" localSheetId="9">#REF!</definedName>
    <definedName name="GásDescrição1" localSheetId="10">#REF!</definedName>
    <definedName name="GásDescrição1" localSheetId="11">#REF!</definedName>
    <definedName name="GásDescrição1" localSheetId="12">#REF!</definedName>
    <definedName name="GásDescrição1" localSheetId="13">#REF!</definedName>
    <definedName name="GásDescrição1" localSheetId="14">#REF!</definedName>
    <definedName name="GásDescrição1" localSheetId="15">#REF!</definedName>
    <definedName name="GásDescrição10" localSheetId="4">#REF!</definedName>
    <definedName name="GásDescrição10" localSheetId="5">#REF!</definedName>
    <definedName name="GásDescrição10" localSheetId="6">#REF!</definedName>
    <definedName name="GásDescrição10" localSheetId="7">#REF!</definedName>
    <definedName name="GásDescrição10" localSheetId="8">#REF!</definedName>
    <definedName name="GásDescrição10" localSheetId="9">#REF!</definedName>
    <definedName name="GásDescrição10" localSheetId="10">#REF!</definedName>
    <definedName name="GásDescrição10" localSheetId="11">#REF!</definedName>
    <definedName name="GásDescrição10" localSheetId="12">#REF!</definedName>
    <definedName name="GásDescrição10" localSheetId="13">#REF!</definedName>
    <definedName name="GásDescrição10" localSheetId="14">#REF!</definedName>
    <definedName name="GásDescrição10" localSheetId="15">#REF!</definedName>
    <definedName name="GásDescrição2" localSheetId="4">#REF!</definedName>
    <definedName name="GásDescrição2" localSheetId="5">#REF!</definedName>
    <definedName name="GásDescrição2" localSheetId="6">#REF!</definedName>
    <definedName name="GásDescrição2" localSheetId="7">#REF!</definedName>
    <definedName name="GásDescrição2" localSheetId="8">#REF!</definedName>
    <definedName name="GásDescrição2" localSheetId="9">#REF!</definedName>
    <definedName name="GásDescrição2" localSheetId="10">#REF!</definedName>
    <definedName name="GásDescrição2" localSheetId="11">#REF!</definedName>
    <definedName name="GásDescrição2" localSheetId="12">#REF!</definedName>
    <definedName name="GásDescrição2" localSheetId="13">#REF!</definedName>
    <definedName name="GásDescrição2" localSheetId="14">#REF!</definedName>
    <definedName name="GásDescrição2" localSheetId="15">#REF!</definedName>
    <definedName name="GásDescrição3" localSheetId="4">#REF!</definedName>
    <definedName name="GásDescrição3" localSheetId="5">#REF!</definedName>
    <definedName name="GásDescrição3" localSheetId="6">#REF!</definedName>
    <definedName name="GásDescrição3" localSheetId="7">#REF!</definedName>
    <definedName name="GásDescrição3" localSheetId="8">#REF!</definedName>
    <definedName name="GásDescrição3" localSheetId="9">#REF!</definedName>
    <definedName name="GásDescrição3" localSheetId="10">#REF!</definedName>
    <definedName name="GásDescrição3" localSheetId="11">#REF!</definedName>
    <definedName name="GásDescrição3" localSheetId="12">#REF!</definedName>
    <definedName name="GásDescrição3" localSheetId="13">#REF!</definedName>
    <definedName name="GásDescrição3" localSheetId="14">#REF!</definedName>
    <definedName name="GásDescrição3" localSheetId="15">#REF!</definedName>
    <definedName name="GásDescrição4" localSheetId="4">#REF!</definedName>
    <definedName name="GásDescrição4" localSheetId="5">#REF!</definedName>
    <definedName name="GásDescrição4" localSheetId="6">#REF!</definedName>
    <definedName name="GásDescrição4" localSheetId="7">#REF!</definedName>
    <definedName name="GásDescrição4" localSheetId="8">#REF!</definedName>
    <definedName name="GásDescrição4" localSheetId="9">#REF!</definedName>
    <definedName name="GásDescrição4" localSheetId="10">#REF!</definedName>
    <definedName name="GásDescrição4" localSheetId="11">#REF!</definedName>
    <definedName name="GásDescrição4" localSheetId="12">#REF!</definedName>
    <definedName name="GásDescrição4" localSheetId="13">#REF!</definedName>
    <definedName name="GásDescrição4" localSheetId="14">#REF!</definedName>
    <definedName name="GásDescrição4" localSheetId="15">#REF!</definedName>
    <definedName name="GásDescrição5" localSheetId="4">#REF!</definedName>
    <definedName name="GásDescrição5" localSheetId="5">#REF!</definedName>
    <definedName name="GásDescrição5" localSheetId="6">#REF!</definedName>
    <definedName name="GásDescrição5" localSheetId="7">#REF!</definedName>
    <definedName name="GásDescrição5" localSheetId="8">#REF!</definedName>
    <definedName name="GásDescrição5" localSheetId="9">#REF!</definedName>
    <definedName name="GásDescrição5" localSheetId="10">#REF!</definedName>
    <definedName name="GásDescrição5" localSheetId="11">#REF!</definedName>
    <definedName name="GásDescrição5" localSheetId="12">#REF!</definedName>
    <definedName name="GásDescrição5" localSheetId="13">#REF!</definedName>
    <definedName name="GásDescrição5" localSheetId="14">#REF!</definedName>
    <definedName name="GásDescrição5" localSheetId="15">#REF!</definedName>
    <definedName name="GásDescrição6" localSheetId="4">#REF!</definedName>
    <definedName name="GásDescrição6" localSheetId="5">#REF!</definedName>
    <definedName name="GásDescrição6" localSheetId="6">#REF!</definedName>
    <definedName name="GásDescrição6" localSheetId="7">#REF!</definedName>
    <definedName name="GásDescrição6" localSheetId="8">#REF!</definedName>
    <definedName name="GásDescrição6" localSheetId="9">#REF!</definedName>
    <definedName name="GásDescrição6" localSheetId="10">#REF!</definedName>
    <definedName name="GásDescrição6" localSheetId="11">#REF!</definedName>
    <definedName name="GásDescrição6" localSheetId="12">#REF!</definedName>
    <definedName name="GásDescrição6" localSheetId="13">#REF!</definedName>
    <definedName name="GásDescrição6" localSheetId="14">#REF!</definedName>
    <definedName name="GásDescrição6" localSheetId="15">#REF!</definedName>
    <definedName name="GásDescrição7" localSheetId="4">#REF!</definedName>
    <definedName name="GásDescrição7" localSheetId="5">#REF!</definedName>
    <definedName name="GásDescrição7" localSheetId="6">#REF!</definedName>
    <definedName name="GásDescrição7" localSheetId="7">#REF!</definedName>
    <definedName name="GásDescrição7" localSheetId="8">#REF!</definedName>
    <definedName name="GásDescrição7" localSheetId="9">#REF!</definedName>
    <definedName name="GásDescrição7" localSheetId="10">#REF!</definedName>
    <definedName name="GásDescrição7" localSheetId="11">#REF!</definedName>
    <definedName name="GásDescrição7" localSheetId="12">#REF!</definedName>
    <definedName name="GásDescrição7" localSheetId="13">#REF!</definedName>
    <definedName name="GásDescrição7" localSheetId="14">#REF!</definedName>
    <definedName name="GásDescrição7" localSheetId="15">#REF!</definedName>
    <definedName name="GásDescrição8" localSheetId="4">#REF!</definedName>
    <definedName name="GásDescrição8" localSheetId="5">#REF!</definedName>
    <definedName name="GásDescrição8" localSheetId="6">#REF!</definedName>
    <definedName name="GásDescrição8" localSheetId="7">#REF!</definedName>
    <definedName name="GásDescrição8" localSheetId="8">#REF!</definedName>
    <definedName name="GásDescrição8" localSheetId="9">#REF!</definedName>
    <definedName name="GásDescrição8" localSheetId="10">#REF!</definedName>
    <definedName name="GásDescrição8" localSheetId="11">#REF!</definedName>
    <definedName name="GásDescrição8" localSheetId="12">#REF!</definedName>
    <definedName name="GásDescrição8" localSheetId="13">#REF!</definedName>
    <definedName name="GásDescrição8" localSheetId="14">#REF!</definedName>
    <definedName name="GásDescrição8" localSheetId="15">#REF!</definedName>
    <definedName name="GásDescrição9" localSheetId="4">#REF!</definedName>
    <definedName name="GásDescrição9" localSheetId="5">#REF!</definedName>
    <definedName name="GásDescrição9" localSheetId="6">#REF!</definedName>
    <definedName name="GásDescrição9" localSheetId="7">#REF!</definedName>
    <definedName name="GásDescrição9" localSheetId="8">#REF!</definedName>
    <definedName name="GásDescrição9" localSheetId="9">#REF!</definedName>
    <definedName name="GásDescrição9" localSheetId="10">#REF!</definedName>
    <definedName name="GásDescrição9" localSheetId="11">#REF!</definedName>
    <definedName name="GásDescrição9" localSheetId="12">#REF!</definedName>
    <definedName name="GásDescrição9" localSheetId="13">#REF!</definedName>
    <definedName name="GásDescrição9" localSheetId="14">#REF!</definedName>
    <definedName name="GásDescrição9" localSheetId="15">#REF!</definedName>
    <definedName name="GásOrigem1" localSheetId="4">#REF!</definedName>
    <definedName name="GásOrigem1" localSheetId="5">#REF!</definedName>
    <definedName name="GásOrigem1" localSheetId="6">#REF!</definedName>
    <definedName name="GásOrigem1" localSheetId="7">#REF!</definedName>
    <definedName name="GásOrigem1" localSheetId="8">#REF!</definedName>
    <definedName name="GásOrigem1" localSheetId="9">#REF!</definedName>
    <definedName name="GásOrigem1" localSheetId="10">#REF!</definedName>
    <definedName name="GásOrigem1" localSheetId="11">#REF!</definedName>
    <definedName name="GásOrigem1" localSheetId="12">#REF!</definedName>
    <definedName name="GásOrigem1" localSheetId="13">#REF!</definedName>
    <definedName name="GásOrigem1" localSheetId="14">#REF!</definedName>
    <definedName name="GásOrigem1" localSheetId="15">#REF!</definedName>
    <definedName name="GásOrigem10" localSheetId="4">#REF!</definedName>
    <definedName name="GásOrigem10" localSheetId="5">#REF!</definedName>
    <definedName name="GásOrigem10" localSheetId="6">#REF!</definedName>
    <definedName name="GásOrigem10" localSheetId="7">#REF!</definedName>
    <definedName name="GásOrigem10" localSheetId="8">#REF!</definedName>
    <definedName name="GásOrigem10" localSheetId="9">#REF!</definedName>
    <definedName name="GásOrigem10" localSheetId="10">#REF!</definedName>
    <definedName name="GásOrigem10" localSheetId="11">#REF!</definedName>
    <definedName name="GásOrigem10" localSheetId="12">#REF!</definedName>
    <definedName name="GásOrigem10" localSheetId="13">#REF!</definedName>
    <definedName name="GásOrigem10" localSheetId="14">#REF!</definedName>
    <definedName name="GásOrigem10" localSheetId="15">#REF!</definedName>
    <definedName name="GásOrigem2" localSheetId="4">#REF!</definedName>
    <definedName name="GásOrigem2" localSheetId="5">#REF!</definedName>
    <definedName name="GásOrigem2" localSheetId="6">#REF!</definedName>
    <definedName name="GásOrigem2" localSheetId="7">#REF!</definedName>
    <definedName name="GásOrigem2" localSheetId="8">#REF!</definedName>
    <definedName name="GásOrigem2" localSheetId="9">#REF!</definedName>
    <definedName name="GásOrigem2" localSheetId="10">#REF!</definedName>
    <definedName name="GásOrigem2" localSheetId="11">#REF!</definedName>
    <definedName name="GásOrigem2" localSheetId="12">#REF!</definedName>
    <definedName name="GásOrigem2" localSheetId="13">#REF!</definedName>
    <definedName name="GásOrigem2" localSheetId="14">#REF!</definedName>
    <definedName name="GásOrigem2" localSheetId="15">#REF!</definedName>
    <definedName name="GásOrigem3" localSheetId="4">#REF!</definedName>
    <definedName name="GásOrigem3" localSheetId="5">#REF!</definedName>
    <definedName name="GásOrigem3" localSheetId="6">#REF!</definedName>
    <definedName name="GásOrigem3" localSheetId="7">#REF!</definedName>
    <definedName name="GásOrigem3" localSheetId="8">#REF!</definedName>
    <definedName name="GásOrigem3" localSheetId="9">#REF!</definedName>
    <definedName name="GásOrigem3" localSheetId="10">#REF!</definedName>
    <definedName name="GásOrigem3" localSheetId="11">#REF!</definedName>
    <definedName name="GásOrigem3" localSheetId="12">#REF!</definedName>
    <definedName name="GásOrigem3" localSheetId="13">#REF!</definedName>
    <definedName name="GásOrigem3" localSheetId="14">#REF!</definedName>
    <definedName name="GásOrigem3" localSheetId="15">#REF!</definedName>
    <definedName name="GásOrigem4" localSheetId="4">#REF!</definedName>
    <definedName name="GásOrigem4" localSheetId="5">#REF!</definedName>
    <definedName name="GásOrigem4" localSheetId="6">#REF!</definedName>
    <definedName name="GásOrigem4" localSheetId="7">#REF!</definedName>
    <definedName name="GásOrigem4" localSheetId="8">#REF!</definedName>
    <definedName name="GásOrigem4" localSheetId="9">#REF!</definedName>
    <definedName name="GásOrigem4" localSheetId="10">#REF!</definedName>
    <definedName name="GásOrigem4" localSheetId="11">#REF!</definedName>
    <definedName name="GásOrigem4" localSheetId="12">#REF!</definedName>
    <definedName name="GásOrigem4" localSheetId="13">#REF!</definedName>
    <definedName name="GásOrigem4" localSheetId="14">#REF!</definedName>
    <definedName name="GásOrigem4" localSheetId="15">#REF!</definedName>
    <definedName name="GásOrigem5" localSheetId="4">#REF!</definedName>
    <definedName name="GásOrigem5" localSheetId="5">#REF!</definedName>
    <definedName name="GásOrigem5" localSheetId="6">#REF!</definedName>
    <definedName name="GásOrigem5" localSheetId="7">#REF!</definedName>
    <definedName name="GásOrigem5" localSheetId="8">#REF!</definedName>
    <definedName name="GásOrigem5" localSheetId="9">#REF!</definedName>
    <definedName name="GásOrigem5" localSheetId="10">#REF!</definedName>
    <definedName name="GásOrigem5" localSheetId="11">#REF!</definedName>
    <definedName name="GásOrigem5" localSheetId="12">#REF!</definedName>
    <definedName name="GásOrigem5" localSheetId="13">#REF!</definedName>
    <definedName name="GásOrigem5" localSheetId="14">#REF!</definedName>
    <definedName name="GásOrigem5" localSheetId="15">#REF!</definedName>
    <definedName name="GásOrigem6" localSheetId="4">#REF!</definedName>
    <definedName name="GásOrigem6" localSheetId="5">#REF!</definedName>
    <definedName name="GásOrigem6" localSheetId="6">#REF!</definedName>
    <definedName name="GásOrigem6" localSheetId="7">#REF!</definedName>
    <definedName name="GásOrigem6" localSheetId="8">#REF!</definedName>
    <definedName name="GásOrigem6" localSheetId="9">#REF!</definedName>
    <definedName name="GásOrigem6" localSheetId="10">#REF!</definedName>
    <definedName name="GásOrigem6" localSheetId="11">#REF!</definedName>
    <definedName name="GásOrigem6" localSheetId="12">#REF!</definedName>
    <definedName name="GásOrigem6" localSheetId="13">#REF!</definedName>
    <definedName name="GásOrigem6" localSheetId="14">#REF!</definedName>
    <definedName name="GásOrigem6" localSheetId="15">#REF!</definedName>
    <definedName name="GásOrigem7" localSheetId="4">#REF!</definedName>
    <definedName name="GásOrigem7" localSheetId="5">#REF!</definedName>
    <definedName name="GásOrigem7" localSheetId="6">#REF!</definedName>
    <definedName name="GásOrigem7" localSheetId="7">#REF!</definedName>
    <definedName name="GásOrigem7" localSheetId="8">#REF!</definedName>
    <definedName name="GásOrigem7" localSheetId="9">#REF!</definedName>
    <definedName name="GásOrigem7" localSheetId="10">#REF!</definedName>
    <definedName name="GásOrigem7" localSheetId="11">#REF!</definedName>
    <definedName name="GásOrigem7" localSheetId="12">#REF!</definedName>
    <definedName name="GásOrigem7" localSheetId="13">#REF!</definedName>
    <definedName name="GásOrigem7" localSheetId="14">#REF!</definedName>
    <definedName name="GásOrigem7" localSheetId="15">#REF!</definedName>
    <definedName name="GásOrigem8" localSheetId="4">#REF!</definedName>
    <definedName name="GásOrigem8" localSheetId="5">#REF!</definedName>
    <definedName name="GásOrigem8" localSheetId="6">#REF!</definedName>
    <definedName name="GásOrigem8" localSheetId="7">#REF!</definedName>
    <definedName name="GásOrigem8" localSheetId="8">#REF!</definedName>
    <definedName name="GásOrigem8" localSheetId="9">#REF!</definedName>
    <definedName name="GásOrigem8" localSheetId="10">#REF!</definedName>
    <definedName name="GásOrigem8" localSheetId="11">#REF!</definedName>
    <definedName name="GásOrigem8" localSheetId="12">#REF!</definedName>
    <definedName name="GásOrigem8" localSheetId="13">#REF!</definedName>
    <definedName name="GásOrigem8" localSheetId="14">#REF!</definedName>
    <definedName name="GásOrigem8" localSheetId="15">#REF!</definedName>
    <definedName name="GásOrigem9" localSheetId="4">#REF!</definedName>
    <definedName name="GásOrigem9" localSheetId="5">#REF!</definedName>
    <definedName name="GásOrigem9" localSheetId="6">#REF!</definedName>
    <definedName name="GásOrigem9" localSheetId="7">#REF!</definedName>
    <definedName name="GásOrigem9" localSheetId="8">#REF!</definedName>
    <definedName name="GásOrigem9" localSheetId="9">#REF!</definedName>
    <definedName name="GásOrigem9" localSheetId="10">#REF!</definedName>
    <definedName name="GásOrigem9" localSheetId="11">#REF!</definedName>
    <definedName name="GásOrigem9" localSheetId="12">#REF!</definedName>
    <definedName name="GásOrigem9" localSheetId="13">#REF!</definedName>
    <definedName name="GásOrigem9" localSheetId="14">#REF!</definedName>
    <definedName name="GásOrigem9" localSheetId="15">#REF!</definedName>
    <definedName name="GásSímbolo1" localSheetId="4">#REF!</definedName>
    <definedName name="GásSímbolo1" localSheetId="5">#REF!</definedName>
    <definedName name="GásSímbolo1" localSheetId="6">#REF!</definedName>
    <definedName name="GásSímbolo1" localSheetId="7">#REF!</definedName>
    <definedName name="GásSímbolo1" localSheetId="8">#REF!</definedName>
    <definedName name="GásSímbolo1" localSheetId="9">#REF!</definedName>
    <definedName name="GásSímbolo1" localSheetId="10">#REF!</definedName>
    <definedName name="GásSímbolo1" localSheetId="11">#REF!</definedName>
    <definedName name="GásSímbolo1" localSheetId="12">#REF!</definedName>
    <definedName name="GásSímbolo1" localSheetId="13">#REF!</definedName>
    <definedName name="GásSímbolo1" localSheetId="14">#REF!</definedName>
    <definedName name="GásSímbolo1" localSheetId="15">#REF!</definedName>
    <definedName name="GásSímbolo10" localSheetId="4">#REF!</definedName>
    <definedName name="GásSímbolo10" localSheetId="5">#REF!</definedName>
    <definedName name="GásSímbolo10" localSheetId="6">#REF!</definedName>
    <definedName name="GásSímbolo10" localSheetId="7">#REF!</definedName>
    <definedName name="GásSímbolo10" localSheetId="8">#REF!</definedName>
    <definedName name="GásSímbolo10" localSheetId="9">#REF!</definedName>
    <definedName name="GásSímbolo10" localSheetId="10">#REF!</definedName>
    <definedName name="GásSímbolo10" localSheetId="11">#REF!</definedName>
    <definedName name="GásSímbolo10" localSheetId="12">#REF!</definedName>
    <definedName name="GásSímbolo10" localSheetId="13">#REF!</definedName>
    <definedName name="GásSímbolo10" localSheetId="14">#REF!</definedName>
    <definedName name="GásSímbolo10" localSheetId="15">#REF!</definedName>
    <definedName name="GásSímbolo2" localSheetId="4">#REF!</definedName>
    <definedName name="GásSímbolo2" localSheetId="5">#REF!</definedName>
    <definedName name="GásSímbolo2" localSheetId="6">#REF!</definedName>
    <definedName name="GásSímbolo2" localSheetId="7">#REF!</definedName>
    <definedName name="GásSímbolo2" localSheetId="8">#REF!</definedName>
    <definedName name="GásSímbolo2" localSheetId="9">#REF!</definedName>
    <definedName name="GásSímbolo2" localSheetId="10">#REF!</definedName>
    <definedName name="GásSímbolo2" localSheetId="11">#REF!</definedName>
    <definedName name="GásSímbolo2" localSheetId="12">#REF!</definedName>
    <definedName name="GásSímbolo2" localSheetId="13">#REF!</definedName>
    <definedName name="GásSímbolo2" localSheetId="14">#REF!</definedName>
    <definedName name="GásSímbolo2" localSheetId="15">#REF!</definedName>
    <definedName name="GásSímbolo3" localSheetId="4">#REF!</definedName>
    <definedName name="GásSímbolo3" localSheetId="5">#REF!</definedName>
    <definedName name="GásSímbolo3" localSheetId="6">#REF!</definedName>
    <definedName name="GásSímbolo3" localSheetId="7">#REF!</definedName>
    <definedName name="GásSímbolo3" localSheetId="8">#REF!</definedName>
    <definedName name="GásSímbolo3" localSheetId="9">#REF!</definedName>
    <definedName name="GásSímbolo3" localSheetId="10">#REF!</definedName>
    <definedName name="GásSímbolo3" localSheetId="11">#REF!</definedName>
    <definedName name="GásSímbolo3" localSheetId="12">#REF!</definedName>
    <definedName name="GásSímbolo3" localSheetId="13">#REF!</definedName>
    <definedName name="GásSímbolo3" localSheetId="14">#REF!</definedName>
    <definedName name="GásSímbolo3" localSheetId="15">#REF!</definedName>
    <definedName name="GásSímbolo4" localSheetId="4">#REF!</definedName>
    <definedName name="GásSímbolo4" localSheetId="5">#REF!</definedName>
    <definedName name="GásSímbolo4" localSheetId="6">#REF!</definedName>
    <definedName name="GásSímbolo4" localSheetId="7">#REF!</definedName>
    <definedName name="GásSímbolo4" localSheetId="8">#REF!</definedName>
    <definedName name="GásSímbolo4" localSheetId="9">#REF!</definedName>
    <definedName name="GásSímbolo4" localSheetId="10">#REF!</definedName>
    <definedName name="GásSímbolo4" localSheetId="11">#REF!</definedName>
    <definedName name="GásSímbolo4" localSheetId="12">#REF!</definedName>
    <definedName name="GásSímbolo4" localSheetId="13">#REF!</definedName>
    <definedName name="GásSímbolo4" localSheetId="14">#REF!</definedName>
    <definedName name="GásSímbolo4" localSheetId="15">#REF!</definedName>
    <definedName name="GásSímbolo5" localSheetId="4">#REF!</definedName>
    <definedName name="GásSímbolo5" localSheetId="5">#REF!</definedName>
    <definedName name="GásSímbolo5" localSheetId="6">#REF!</definedName>
    <definedName name="GásSímbolo5" localSheetId="7">#REF!</definedName>
    <definedName name="GásSímbolo5" localSheetId="8">#REF!</definedName>
    <definedName name="GásSímbolo5" localSheetId="9">#REF!</definedName>
    <definedName name="GásSímbolo5" localSheetId="10">#REF!</definedName>
    <definedName name="GásSímbolo5" localSheetId="11">#REF!</definedName>
    <definedName name="GásSímbolo5" localSheetId="12">#REF!</definedName>
    <definedName name="GásSímbolo5" localSheetId="13">#REF!</definedName>
    <definedName name="GásSímbolo5" localSheetId="14">#REF!</definedName>
    <definedName name="GásSímbolo5" localSheetId="15">#REF!</definedName>
    <definedName name="GásSímbolo6" localSheetId="4">#REF!</definedName>
    <definedName name="GásSímbolo6" localSheetId="5">#REF!</definedName>
    <definedName name="GásSímbolo6" localSheetId="6">#REF!</definedName>
    <definedName name="GásSímbolo6" localSheetId="7">#REF!</definedName>
    <definedName name="GásSímbolo6" localSheetId="8">#REF!</definedName>
    <definedName name="GásSímbolo6" localSheetId="9">#REF!</definedName>
    <definedName name="GásSímbolo6" localSheetId="10">#REF!</definedName>
    <definedName name="GásSímbolo6" localSheetId="11">#REF!</definedName>
    <definedName name="GásSímbolo6" localSheetId="12">#REF!</definedName>
    <definedName name="GásSímbolo6" localSheetId="13">#REF!</definedName>
    <definedName name="GásSímbolo6" localSheetId="14">#REF!</definedName>
    <definedName name="GásSímbolo6" localSheetId="15">#REF!</definedName>
    <definedName name="GásSímbolo7" localSheetId="4">#REF!</definedName>
    <definedName name="GásSímbolo7" localSheetId="5">#REF!</definedName>
    <definedName name="GásSímbolo7" localSheetId="6">#REF!</definedName>
    <definedName name="GásSímbolo7" localSheetId="7">#REF!</definedName>
    <definedName name="GásSímbolo7" localSheetId="8">#REF!</definedName>
    <definedName name="GásSímbolo7" localSheetId="9">#REF!</definedName>
    <definedName name="GásSímbolo7" localSheetId="10">#REF!</definedName>
    <definedName name="GásSímbolo7" localSheetId="11">#REF!</definedName>
    <definedName name="GásSímbolo7" localSheetId="12">#REF!</definedName>
    <definedName name="GásSímbolo7" localSheetId="13">#REF!</definedName>
    <definedName name="GásSímbolo7" localSheetId="14">#REF!</definedName>
    <definedName name="GásSímbolo7" localSheetId="15">#REF!</definedName>
    <definedName name="GásSímbolo8" localSheetId="4">#REF!</definedName>
    <definedName name="GásSímbolo8" localSheetId="5">#REF!</definedName>
    <definedName name="GásSímbolo8" localSheetId="6">#REF!</definedName>
    <definedName name="GásSímbolo8" localSheetId="7">#REF!</definedName>
    <definedName name="GásSímbolo8" localSheetId="8">#REF!</definedName>
    <definedName name="GásSímbolo8" localSheetId="9">#REF!</definedName>
    <definedName name="GásSímbolo8" localSheetId="10">#REF!</definedName>
    <definedName name="GásSímbolo8" localSheetId="11">#REF!</definedName>
    <definedName name="GásSímbolo8" localSheetId="12">#REF!</definedName>
    <definedName name="GásSímbolo8" localSheetId="13">#REF!</definedName>
    <definedName name="GásSímbolo8" localSheetId="14">#REF!</definedName>
    <definedName name="GásSímbolo8" localSheetId="15">#REF!</definedName>
    <definedName name="GásSímbolo9" localSheetId="4">#REF!</definedName>
    <definedName name="GásSímbolo9" localSheetId="5">#REF!</definedName>
    <definedName name="GásSímbolo9" localSheetId="6">#REF!</definedName>
    <definedName name="GásSímbolo9" localSheetId="7">#REF!</definedName>
    <definedName name="GásSímbolo9" localSheetId="8">#REF!</definedName>
    <definedName name="GásSímbolo9" localSheetId="9">#REF!</definedName>
    <definedName name="GásSímbolo9" localSheetId="10">#REF!</definedName>
    <definedName name="GásSímbolo9" localSheetId="11">#REF!</definedName>
    <definedName name="GásSímbolo9" localSheetId="12">#REF!</definedName>
    <definedName name="GásSímbolo9" localSheetId="13">#REF!</definedName>
    <definedName name="GásSímbolo9" localSheetId="14">#REF!</definedName>
    <definedName name="GásSímbolo9" localSheetId="15">#REF!</definedName>
    <definedName name="GásValor1" localSheetId="4">#REF!</definedName>
    <definedName name="GásValor1" localSheetId="5">#REF!</definedName>
    <definedName name="GásValor1" localSheetId="6">#REF!</definedName>
    <definedName name="GásValor1" localSheetId="7">#REF!</definedName>
    <definedName name="GásValor1" localSheetId="8">#REF!</definedName>
    <definedName name="GásValor1" localSheetId="9">#REF!</definedName>
    <definedName name="GásValor1" localSheetId="10">#REF!</definedName>
    <definedName name="GásValor1" localSheetId="11">#REF!</definedName>
    <definedName name="GásValor1" localSheetId="12">#REF!</definedName>
    <definedName name="GásValor1" localSheetId="13">#REF!</definedName>
    <definedName name="GásValor1" localSheetId="14">#REF!</definedName>
    <definedName name="GásValor1" localSheetId="15">#REF!</definedName>
    <definedName name="GásValor10" localSheetId="4">#REF!</definedName>
    <definedName name="GásValor10" localSheetId="5">#REF!</definedName>
    <definedName name="GásValor10" localSheetId="6">#REF!</definedName>
    <definedName name="GásValor10" localSheetId="7">#REF!</definedName>
    <definedName name="GásValor10" localSheetId="8">#REF!</definedName>
    <definedName name="GásValor10" localSheetId="9">#REF!</definedName>
    <definedName name="GásValor10" localSheetId="10">#REF!</definedName>
    <definedName name="GásValor10" localSheetId="11">#REF!</definedName>
    <definedName name="GásValor10" localSheetId="12">#REF!</definedName>
    <definedName name="GásValor10" localSheetId="13">#REF!</definedName>
    <definedName name="GásValor10" localSheetId="14">#REF!</definedName>
    <definedName name="GásValor10" localSheetId="15">#REF!</definedName>
    <definedName name="GásValor2" localSheetId="4">#REF!</definedName>
    <definedName name="GásValor2" localSheetId="5">#REF!</definedName>
    <definedName name="GásValor2" localSheetId="6">#REF!</definedName>
    <definedName name="GásValor2" localSheetId="7">#REF!</definedName>
    <definedName name="GásValor2" localSheetId="8">#REF!</definedName>
    <definedName name="GásValor2" localSheetId="9">#REF!</definedName>
    <definedName name="GásValor2" localSheetId="10">#REF!</definedName>
    <definedName name="GásValor2" localSheetId="11">#REF!</definedName>
    <definedName name="GásValor2" localSheetId="12">#REF!</definedName>
    <definedName name="GásValor2" localSheetId="13">#REF!</definedName>
    <definedName name="GásValor2" localSheetId="14">#REF!</definedName>
    <definedName name="GásValor2" localSheetId="15">#REF!</definedName>
    <definedName name="GásValor3" localSheetId="4">#REF!</definedName>
    <definedName name="GásValor3" localSheetId="5">#REF!</definedName>
    <definedName name="GásValor3" localSheetId="6">#REF!</definedName>
    <definedName name="GásValor3" localSheetId="7">#REF!</definedName>
    <definedName name="GásValor3" localSheetId="8">#REF!</definedName>
    <definedName name="GásValor3" localSheetId="9">#REF!</definedName>
    <definedName name="GásValor3" localSheetId="10">#REF!</definedName>
    <definedName name="GásValor3" localSheetId="11">#REF!</definedName>
    <definedName name="GásValor3" localSheetId="12">#REF!</definedName>
    <definedName name="GásValor3" localSheetId="13">#REF!</definedName>
    <definedName name="GásValor3" localSheetId="14">#REF!</definedName>
    <definedName name="GásValor3" localSheetId="15">#REF!</definedName>
    <definedName name="GásValor4" localSheetId="4">#REF!</definedName>
    <definedName name="GásValor4" localSheetId="5">#REF!</definedName>
    <definedName name="GásValor4" localSheetId="6">#REF!</definedName>
    <definedName name="GásValor4" localSheetId="7">#REF!</definedName>
    <definedName name="GásValor4" localSheetId="8">#REF!</definedName>
    <definedName name="GásValor4" localSheetId="9">#REF!</definedName>
    <definedName name="GásValor4" localSheetId="10">#REF!</definedName>
    <definedName name="GásValor4" localSheetId="11">#REF!</definedName>
    <definedName name="GásValor4" localSheetId="12">#REF!</definedName>
    <definedName name="GásValor4" localSheetId="13">#REF!</definedName>
    <definedName name="GásValor4" localSheetId="14">#REF!</definedName>
    <definedName name="GásValor4" localSheetId="15">#REF!</definedName>
    <definedName name="GásValor5" localSheetId="4">#REF!</definedName>
    <definedName name="GásValor5" localSheetId="5">#REF!</definedName>
    <definedName name="GásValor5" localSheetId="6">#REF!</definedName>
    <definedName name="GásValor5" localSheetId="7">#REF!</definedName>
    <definedName name="GásValor5" localSheetId="8">#REF!</definedName>
    <definedName name="GásValor5" localSheetId="9">#REF!</definedName>
    <definedName name="GásValor5" localSheetId="10">#REF!</definedName>
    <definedName name="GásValor5" localSheetId="11">#REF!</definedName>
    <definedName name="GásValor5" localSheetId="12">#REF!</definedName>
    <definedName name="GásValor5" localSheetId="13">#REF!</definedName>
    <definedName name="GásValor5" localSheetId="14">#REF!</definedName>
    <definedName name="GásValor5" localSheetId="15">#REF!</definedName>
    <definedName name="GásValor6" localSheetId="4">#REF!</definedName>
    <definedName name="GásValor6" localSheetId="5">#REF!</definedName>
    <definedName name="GásValor6" localSheetId="6">#REF!</definedName>
    <definedName name="GásValor6" localSheetId="7">#REF!</definedName>
    <definedName name="GásValor6" localSheetId="8">#REF!</definedName>
    <definedName name="GásValor6" localSheetId="9">#REF!</definedName>
    <definedName name="GásValor6" localSheetId="10">#REF!</definedName>
    <definedName name="GásValor6" localSheetId="11">#REF!</definedName>
    <definedName name="GásValor6" localSheetId="12">#REF!</definedName>
    <definedName name="GásValor6" localSheetId="13">#REF!</definedName>
    <definedName name="GásValor6" localSheetId="14">#REF!</definedName>
    <definedName name="GásValor6" localSheetId="15">#REF!</definedName>
    <definedName name="GásValor7" localSheetId="4">#REF!</definedName>
    <definedName name="GásValor7" localSheetId="5">#REF!</definedName>
    <definedName name="GásValor7" localSheetId="6">#REF!</definedName>
    <definedName name="GásValor7" localSheetId="7">#REF!</definedName>
    <definedName name="GásValor7" localSheetId="8">#REF!</definedName>
    <definedName name="GásValor7" localSheetId="9">#REF!</definedName>
    <definedName name="GásValor7" localSheetId="10">#REF!</definedName>
    <definedName name="GásValor7" localSheetId="11">#REF!</definedName>
    <definedName name="GásValor7" localSheetId="12">#REF!</definedName>
    <definedName name="GásValor7" localSheetId="13">#REF!</definedName>
    <definedName name="GásValor7" localSheetId="14">#REF!</definedName>
    <definedName name="GásValor7" localSheetId="15">#REF!</definedName>
    <definedName name="GásValor8" localSheetId="4">#REF!</definedName>
    <definedName name="GásValor8" localSheetId="5">#REF!</definedName>
    <definedName name="GásValor8" localSheetId="6">#REF!</definedName>
    <definedName name="GásValor8" localSheetId="7">#REF!</definedName>
    <definedName name="GásValor8" localSheetId="8">#REF!</definedName>
    <definedName name="GásValor8" localSheetId="9">#REF!</definedName>
    <definedName name="GásValor8" localSheetId="10">#REF!</definedName>
    <definedName name="GásValor8" localSheetId="11">#REF!</definedName>
    <definedName name="GásValor8" localSheetId="12">#REF!</definedName>
    <definedName name="GásValor8" localSheetId="13">#REF!</definedName>
    <definedName name="GásValor8" localSheetId="14">#REF!</definedName>
    <definedName name="GásValor8" localSheetId="15">#REF!</definedName>
    <definedName name="GásValor9" localSheetId="4">#REF!</definedName>
    <definedName name="GásValor9" localSheetId="5">#REF!</definedName>
    <definedName name="GásValor9" localSheetId="6">#REF!</definedName>
    <definedName name="GásValor9" localSheetId="7">#REF!</definedName>
    <definedName name="GásValor9" localSheetId="8">#REF!</definedName>
    <definedName name="GásValor9" localSheetId="9">#REF!</definedName>
    <definedName name="GásValor9" localSheetId="10">#REF!</definedName>
    <definedName name="GásValor9" localSheetId="11">#REF!</definedName>
    <definedName name="GásValor9" localSheetId="12">#REF!</definedName>
    <definedName name="GásValor9" localSheetId="13">#REF!</definedName>
    <definedName name="GásValor9" localSheetId="14">#REF!</definedName>
    <definedName name="GásValor9" localSheetId="15">#REF!</definedName>
    <definedName name="GasVaporFlowDescription" localSheetId="4">#REF!</definedName>
    <definedName name="GasVaporFlowDescription" localSheetId="5">#REF!</definedName>
    <definedName name="GasVaporFlowDescription" localSheetId="6">#REF!</definedName>
    <definedName name="GasVaporFlowDescription" localSheetId="7">#REF!</definedName>
    <definedName name="GasVaporFlowDescription" localSheetId="8">#REF!</definedName>
    <definedName name="GasVaporFlowDescription" localSheetId="9">#REF!</definedName>
    <definedName name="GasVaporFlowDescription" localSheetId="10">#REF!</definedName>
    <definedName name="GasVaporFlowDescription" localSheetId="11">#REF!</definedName>
    <definedName name="GasVaporFlowDescription" localSheetId="12">#REF!</definedName>
    <definedName name="GasVaporFlowDescription" localSheetId="13">#REF!</definedName>
    <definedName name="GasVaporFlowDescription" localSheetId="14">#REF!</definedName>
    <definedName name="GasVaporFlowDescription" localSheetId="15">#REF!</definedName>
    <definedName name="GasVaporFlowSymbol" localSheetId="4">#REF!</definedName>
    <definedName name="GasVaporFlowSymbol" localSheetId="5">#REF!</definedName>
    <definedName name="GasVaporFlowSymbol" localSheetId="6">#REF!</definedName>
    <definedName name="GasVaporFlowSymbol" localSheetId="7">#REF!</definedName>
    <definedName name="GasVaporFlowSymbol" localSheetId="8">#REF!</definedName>
    <definedName name="GasVaporFlowSymbol" localSheetId="9">#REF!</definedName>
    <definedName name="GasVaporFlowSymbol" localSheetId="10">#REF!</definedName>
    <definedName name="GasVaporFlowSymbol" localSheetId="11">#REF!</definedName>
    <definedName name="GasVaporFlowSymbol" localSheetId="12">#REF!</definedName>
    <definedName name="GasVaporFlowSymbol" localSheetId="13">#REF!</definedName>
    <definedName name="GasVaporFlowSymbol" localSheetId="14">#REF!</definedName>
    <definedName name="GasVaporFlowSymbol" localSheetId="15">#REF!</definedName>
    <definedName name="Linha" localSheetId="4">#REF!</definedName>
    <definedName name="Linha" localSheetId="5">#REF!</definedName>
    <definedName name="Linha" localSheetId="6">#REF!</definedName>
    <definedName name="Linha" localSheetId="7">#REF!</definedName>
    <definedName name="Linha" localSheetId="8">#REF!</definedName>
    <definedName name="Linha" localSheetId="9">#REF!</definedName>
    <definedName name="Linha" localSheetId="10">#REF!</definedName>
    <definedName name="Linha" localSheetId="11">#REF!</definedName>
    <definedName name="Linha" localSheetId="12">#REF!</definedName>
    <definedName name="Linha" localSheetId="13">#REF!</definedName>
    <definedName name="Linha" localSheetId="14">#REF!</definedName>
    <definedName name="Linha" localSheetId="15">#REF!</definedName>
    <definedName name="LinhaGas1" localSheetId="4">#REF!</definedName>
    <definedName name="LinhaGas1" localSheetId="5">#REF!</definedName>
    <definedName name="LinhaGas1" localSheetId="6">#REF!</definedName>
    <definedName name="LinhaGas1" localSheetId="7">#REF!</definedName>
    <definedName name="LinhaGas1" localSheetId="8">#REF!</definedName>
    <definedName name="LinhaGas1" localSheetId="9">#REF!</definedName>
    <definedName name="LinhaGas1" localSheetId="10">#REF!</definedName>
    <definedName name="LinhaGas1" localSheetId="11">#REF!</definedName>
    <definedName name="LinhaGas1" localSheetId="12">#REF!</definedName>
    <definedName name="LinhaGas1" localSheetId="13">#REF!</definedName>
    <definedName name="LinhaGas1" localSheetId="14">#REF!</definedName>
    <definedName name="LinhaGas1" localSheetId="15">#REF!</definedName>
    <definedName name="LinhaGas10" localSheetId="4">#REF!</definedName>
    <definedName name="LinhaGas10" localSheetId="5">#REF!</definedName>
    <definedName name="LinhaGas10" localSheetId="6">#REF!</definedName>
    <definedName name="LinhaGas10" localSheetId="7">#REF!</definedName>
    <definedName name="LinhaGas10" localSheetId="8">#REF!</definedName>
    <definedName name="LinhaGas10" localSheetId="9">#REF!</definedName>
    <definedName name="LinhaGas10" localSheetId="10">#REF!</definedName>
    <definedName name="LinhaGas10" localSheetId="11">#REF!</definedName>
    <definedName name="LinhaGas10" localSheetId="12">#REF!</definedName>
    <definedName name="LinhaGas10" localSheetId="13">#REF!</definedName>
    <definedName name="LinhaGas10" localSheetId="14">#REF!</definedName>
    <definedName name="LinhaGas10" localSheetId="15">#REF!</definedName>
    <definedName name="LinhaGas2" localSheetId="4">#REF!</definedName>
    <definedName name="LinhaGas2" localSheetId="5">#REF!</definedName>
    <definedName name="LinhaGas2" localSheetId="6">#REF!</definedName>
    <definedName name="LinhaGas2" localSheetId="7">#REF!</definedName>
    <definedName name="LinhaGas2" localSheetId="8">#REF!</definedName>
    <definedName name="LinhaGas2" localSheetId="9">#REF!</definedName>
    <definedName name="LinhaGas2" localSheetId="10">#REF!</definedName>
    <definedName name="LinhaGas2" localSheetId="11">#REF!</definedName>
    <definedName name="LinhaGas2" localSheetId="12">#REF!</definedName>
    <definedName name="LinhaGas2" localSheetId="13">#REF!</definedName>
    <definedName name="LinhaGas2" localSheetId="14">#REF!</definedName>
    <definedName name="LinhaGas2" localSheetId="15">#REF!</definedName>
    <definedName name="LinhaGas3" localSheetId="4">#REF!</definedName>
    <definedName name="LinhaGas3" localSheetId="5">#REF!</definedName>
    <definedName name="LinhaGas3" localSheetId="6">#REF!</definedName>
    <definedName name="LinhaGas3" localSheetId="7">#REF!</definedName>
    <definedName name="LinhaGas3" localSheetId="8">#REF!</definedName>
    <definedName name="LinhaGas3" localSheetId="9">#REF!</definedName>
    <definedName name="LinhaGas3" localSheetId="10">#REF!</definedName>
    <definedName name="LinhaGas3" localSheetId="11">#REF!</definedName>
    <definedName name="LinhaGas3" localSheetId="12">#REF!</definedName>
    <definedName name="LinhaGas3" localSheetId="13">#REF!</definedName>
    <definedName name="LinhaGas3" localSheetId="14">#REF!</definedName>
    <definedName name="LinhaGas3" localSheetId="15">#REF!</definedName>
    <definedName name="LinhaGas4" localSheetId="4">#REF!</definedName>
    <definedName name="LinhaGas4" localSheetId="5">#REF!</definedName>
    <definedName name="LinhaGas4" localSheetId="6">#REF!</definedName>
    <definedName name="LinhaGas4" localSheetId="7">#REF!</definedName>
    <definedName name="LinhaGas4" localSheetId="8">#REF!</definedName>
    <definedName name="LinhaGas4" localSheetId="9">#REF!</definedName>
    <definedName name="LinhaGas4" localSheetId="10">#REF!</definedName>
    <definedName name="LinhaGas4" localSheetId="11">#REF!</definedName>
    <definedName name="LinhaGas4" localSheetId="12">#REF!</definedName>
    <definedName name="LinhaGas4" localSheetId="13">#REF!</definedName>
    <definedName name="LinhaGas4" localSheetId="14">#REF!</definedName>
    <definedName name="LinhaGas4" localSheetId="15">#REF!</definedName>
    <definedName name="LinhaGas5" localSheetId="4">#REF!</definedName>
    <definedName name="LinhaGas5" localSheetId="5">#REF!</definedName>
    <definedName name="LinhaGas5" localSheetId="6">#REF!</definedName>
    <definedName name="LinhaGas5" localSheetId="7">#REF!</definedName>
    <definedName name="LinhaGas5" localSheetId="8">#REF!</definedName>
    <definedName name="LinhaGas5" localSheetId="9">#REF!</definedName>
    <definedName name="LinhaGas5" localSheetId="10">#REF!</definedName>
    <definedName name="LinhaGas5" localSheetId="11">#REF!</definedName>
    <definedName name="LinhaGas5" localSheetId="12">#REF!</definedName>
    <definedName name="LinhaGas5" localSheetId="13">#REF!</definedName>
    <definedName name="LinhaGas5" localSheetId="14">#REF!</definedName>
    <definedName name="LinhaGas5" localSheetId="15">#REF!</definedName>
    <definedName name="LinhaGas6" localSheetId="4">#REF!</definedName>
    <definedName name="LinhaGas6" localSheetId="5">#REF!</definedName>
    <definedName name="LinhaGas6" localSheetId="6">#REF!</definedName>
    <definedName name="LinhaGas6" localSheetId="7">#REF!</definedName>
    <definedName name="LinhaGas6" localSheetId="8">#REF!</definedName>
    <definedName name="LinhaGas6" localSheetId="9">#REF!</definedName>
    <definedName name="LinhaGas6" localSheetId="10">#REF!</definedName>
    <definedName name="LinhaGas6" localSheetId="11">#REF!</definedName>
    <definedName name="LinhaGas6" localSheetId="12">#REF!</definedName>
    <definedName name="LinhaGas6" localSheetId="13">#REF!</definedName>
    <definedName name="LinhaGas6" localSheetId="14">#REF!</definedName>
    <definedName name="LinhaGas6" localSheetId="15">#REF!</definedName>
    <definedName name="LinhaGas7" localSheetId="4">#REF!</definedName>
    <definedName name="LinhaGas7" localSheetId="5">#REF!</definedName>
    <definedName name="LinhaGas7" localSheetId="6">#REF!</definedName>
    <definedName name="LinhaGas7" localSheetId="7">#REF!</definedName>
    <definedName name="LinhaGas7" localSheetId="8">#REF!</definedName>
    <definedName name="LinhaGas7" localSheetId="9">#REF!</definedName>
    <definedName name="LinhaGas7" localSheetId="10">#REF!</definedName>
    <definedName name="LinhaGas7" localSheetId="11">#REF!</definedName>
    <definedName name="LinhaGas7" localSheetId="12">#REF!</definedName>
    <definedName name="LinhaGas7" localSheetId="13">#REF!</definedName>
    <definedName name="LinhaGas7" localSheetId="14">#REF!</definedName>
    <definedName name="LinhaGas7" localSheetId="15">#REF!</definedName>
    <definedName name="LinhaGas8" localSheetId="4">#REF!</definedName>
    <definedName name="LinhaGas8" localSheetId="5">#REF!</definedName>
    <definedName name="LinhaGas8" localSheetId="6">#REF!</definedName>
    <definedName name="LinhaGas8" localSheetId="7">#REF!</definedName>
    <definedName name="LinhaGas8" localSheetId="8">#REF!</definedName>
    <definedName name="LinhaGas8" localSheetId="9">#REF!</definedName>
    <definedName name="LinhaGas8" localSheetId="10">#REF!</definedName>
    <definedName name="LinhaGas8" localSheetId="11">#REF!</definedName>
    <definedName name="LinhaGas8" localSheetId="12">#REF!</definedName>
    <definedName name="LinhaGas8" localSheetId="13">#REF!</definedName>
    <definedName name="LinhaGas8" localSheetId="14">#REF!</definedName>
    <definedName name="LinhaGas8" localSheetId="15">#REF!</definedName>
    <definedName name="LinhaGas9" localSheetId="4">#REF!</definedName>
    <definedName name="LinhaGas9" localSheetId="5">#REF!</definedName>
    <definedName name="LinhaGas9" localSheetId="6">#REF!</definedName>
    <definedName name="LinhaGas9" localSheetId="7">#REF!</definedName>
    <definedName name="LinhaGas9" localSheetId="8">#REF!</definedName>
    <definedName name="LinhaGas9" localSheetId="9">#REF!</definedName>
    <definedName name="LinhaGas9" localSheetId="10">#REF!</definedName>
    <definedName name="LinhaGas9" localSheetId="11">#REF!</definedName>
    <definedName name="LinhaGas9" localSheetId="12">#REF!</definedName>
    <definedName name="LinhaGas9" localSheetId="13">#REF!</definedName>
    <definedName name="LinhaGas9" localSheetId="14">#REF!</definedName>
    <definedName name="LinhaGas9" localSheetId="15">#REF!</definedName>
    <definedName name="LinhaInclusão" localSheetId="4">#REF!</definedName>
    <definedName name="LinhaInclusão" localSheetId="5">#REF!</definedName>
    <definedName name="LinhaInclusão" localSheetId="6">#REF!</definedName>
    <definedName name="LinhaInclusão" localSheetId="7">#REF!</definedName>
    <definedName name="LinhaInclusão" localSheetId="8">#REF!</definedName>
    <definedName name="LinhaInclusão" localSheetId="9">#REF!</definedName>
    <definedName name="LinhaInclusão" localSheetId="10">#REF!</definedName>
    <definedName name="LinhaInclusão" localSheetId="11">#REF!</definedName>
    <definedName name="LinhaInclusão" localSheetId="12">#REF!</definedName>
    <definedName name="LinhaInclusão" localSheetId="13">#REF!</definedName>
    <definedName name="LinhaInclusão" localSheetId="14">#REF!</definedName>
    <definedName name="LinhaInclusão" localSheetId="15">#REF!</definedName>
    <definedName name="LinhaIniciar" localSheetId="4">#REF!</definedName>
    <definedName name="LinhaIniciar" localSheetId="5">#REF!</definedName>
    <definedName name="LinhaIniciar" localSheetId="6">#REF!</definedName>
    <definedName name="LinhaIniciar" localSheetId="7">#REF!</definedName>
    <definedName name="LinhaIniciar" localSheetId="8">#REF!</definedName>
    <definedName name="LinhaIniciar" localSheetId="9">#REF!</definedName>
    <definedName name="LinhaIniciar" localSheetId="10">#REF!</definedName>
    <definedName name="LinhaIniciar" localSheetId="11">#REF!</definedName>
    <definedName name="LinhaIniciar" localSheetId="12">#REF!</definedName>
    <definedName name="LinhaIniciar" localSheetId="13">#REF!</definedName>
    <definedName name="LinhaIniciar" localSheetId="14">#REF!</definedName>
    <definedName name="LinhaIniciar" localSheetId="15">#REF!</definedName>
    <definedName name="LinhaLiq1" localSheetId="4">#REF!</definedName>
    <definedName name="LinhaLiq1" localSheetId="5">#REF!</definedName>
    <definedName name="LinhaLiq1" localSheetId="6">#REF!</definedName>
    <definedName name="LinhaLiq1" localSheetId="7">#REF!</definedName>
    <definedName name="LinhaLiq1" localSheetId="8">#REF!</definedName>
    <definedName name="LinhaLiq1" localSheetId="9">#REF!</definedName>
    <definedName name="LinhaLiq1" localSheetId="10">#REF!</definedName>
    <definedName name="LinhaLiq1" localSheetId="11">#REF!</definedName>
    <definedName name="LinhaLiq1" localSheetId="12">#REF!</definedName>
    <definedName name="LinhaLiq1" localSheetId="13">#REF!</definedName>
    <definedName name="LinhaLiq1" localSheetId="14">#REF!</definedName>
    <definedName name="LinhaLiq1" localSheetId="15">#REF!</definedName>
    <definedName name="LinhaLiq10" localSheetId="4">#REF!</definedName>
    <definedName name="LinhaLiq10" localSheetId="5">#REF!</definedName>
    <definedName name="LinhaLiq10" localSheetId="6">#REF!</definedName>
    <definedName name="LinhaLiq10" localSheetId="7">#REF!</definedName>
    <definedName name="LinhaLiq10" localSheetId="8">#REF!</definedName>
    <definedName name="LinhaLiq10" localSheetId="9">#REF!</definedName>
    <definedName name="LinhaLiq10" localSheetId="10">#REF!</definedName>
    <definedName name="LinhaLiq10" localSheetId="11">#REF!</definedName>
    <definedName name="LinhaLiq10" localSheetId="12">#REF!</definedName>
    <definedName name="LinhaLiq10" localSheetId="13">#REF!</definedName>
    <definedName name="LinhaLiq10" localSheetId="14">#REF!</definedName>
    <definedName name="LinhaLiq10" localSheetId="15">#REF!</definedName>
    <definedName name="LinhaLiq2" localSheetId="4">#REF!</definedName>
    <definedName name="LinhaLiq2" localSheetId="5">#REF!</definedName>
    <definedName name="LinhaLiq2" localSheetId="6">#REF!</definedName>
    <definedName name="LinhaLiq2" localSheetId="7">#REF!</definedName>
    <definedName name="LinhaLiq2" localSheetId="8">#REF!</definedName>
    <definedName name="LinhaLiq2" localSheetId="9">#REF!</definedName>
    <definedName name="LinhaLiq2" localSheetId="10">#REF!</definedName>
    <definedName name="LinhaLiq2" localSheetId="11">#REF!</definedName>
    <definedName name="LinhaLiq2" localSheetId="12">#REF!</definedName>
    <definedName name="LinhaLiq2" localSheetId="13">#REF!</definedName>
    <definedName name="LinhaLiq2" localSheetId="14">#REF!</definedName>
    <definedName name="LinhaLiq2" localSheetId="15">#REF!</definedName>
    <definedName name="LinhaLiq3" localSheetId="4">#REF!</definedName>
    <definedName name="LinhaLiq3" localSheetId="5">#REF!</definedName>
    <definedName name="LinhaLiq3" localSheetId="6">#REF!</definedName>
    <definedName name="LinhaLiq3" localSheetId="7">#REF!</definedName>
    <definedName name="LinhaLiq3" localSheetId="8">#REF!</definedName>
    <definedName name="LinhaLiq3" localSheetId="9">#REF!</definedName>
    <definedName name="LinhaLiq3" localSheetId="10">#REF!</definedName>
    <definedName name="LinhaLiq3" localSheetId="11">#REF!</definedName>
    <definedName name="LinhaLiq3" localSheetId="12">#REF!</definedName>
    <definedName name="LinhaLiq3" localSheetId="13">#REF!</definedName>
    <definedName name="LinhaLiq3" localSheetId="14">#REF!</definedName>
    <definedName name="LinhaLiq3" localSheetId="15">#REF!</definedName>
    <definedName name="LinhaLiq4" localSheetId="4">#REF!</definedName>
    <definedName name="LinhaLiq4" localSheetId="5">#REF!</definedName>
    <definedName name="LinhaLiq4" localSheetId="6">#REF!</definedName>
    <definedName name="LinhaLiq4" localSheetId="7">#REF!</definedName>
    <definedName name="LinhaLiq4" localSheetId="8">#REF!</definedName>
    <definedName name="LinhaLiq4" localSheetId="9">#REF!</definedName>
    <definedName name="LinhaLiq4" localSheetId="10">#REF!</definedName>
    <definedName name="LinhaLiq4" localSheetId="11">#REF!</definedName>
    <definedName name="LinhaLiq4" localSheetId="12">#REF!</definedName>
    <definedName name="LinhaLiq4" localSheetId="13">#REF!</definedName>
    <definedName name="LinhaLiq4" localSheetId="14">#REF!</definedName>
    <definedName name="LinhaLiq4" localSheetId="15">#REF!</definedName>
    <definedName name="LinhaLiq5" localSheetId="4">#REF!</definedName>
    <definedName name="LinhaLiq5" localSheetId="5">#REF!</definedName>
    <definedName name="LinhaLiq5" localSheetId="6">#REF!</definedName>
    <definedName name="LinhaLiq5" localSheetId="7">#REF!</definedName>
    <definedName name="LinhaLiq5" localSheetId="8">#REF!</definedName>
    <definedName name="LinhaLiq5" localSheetId="9">#REF!</definedName>
    <definedName name="LinhaLiq5" localSheetId="10">#REF!</definedName>
    <definedName name="LinhaLiq5" localSheetId="11">#REF!</definedName>
    <definedName name="LinhaLiq5" localSheetId="12">#REF!</definedName>
    <definedName name="LinhaLiq5" localSheetId="13">#REF!</definedName>
    <definedName name="LinhaLiq5" localSheetId="14">#REF!</definedName>
    <definedName name="LinhaLiq5" localSheetId="15">#REF!</definedName>
    <definedName name="LinhaLiq6" localSheetId="4">#REF!</definedName>
    <definedName name="LinhaLiq6" localSheetId="5">#REF!</definedName>
    <definedName name="LinhaLiq6" localSheetId="6">#REF!</definedName>
    <definedName name="LinhaLiq6" localSheetId="7">#REF!</definedName>
    <definedName name="LinhaLiq6" localSheetId="8">#REF!</definedName>
    <definedName name="LinhaLiq6" localSheetId="9">#REF!</definedName>
    <definedName name="LinhaLiq6" localSheetId="10">#REF!</definedName>
    <definedName name="LinhaLiq6" localSheetId="11">#REF!</definedName>
    <definedName name="LinhaLiq6" localSheetId="12">#REF!</definedName>
    <definedName name="LinhaLiq6" localSheetId="13">#REF!</definedName>
    <definedName name="LinhaLiq6" localSheetId="14">#REF!</definedName>
    <definedName name="LinhaLiq6" localSheetId="15">#REF!</definedName>
    <definedName name="LinhaLiq7" localSheetId="4">#REF!</definedName>
    <definedName name="LinhaLiq7" localSheetId="5">#REF!</definedName>
    <definedName name="LinhaLiq7" localSheetId="6">#REF!</definedName>
    <definedName name="LinhaLiq7" localSheetId="7">#REF!</definedName>
    <definedName name="LinhaLiq7" localSheetId="8">#REF!</definedName>
    <definedName name="LinhaLiq7" localSheetId="9">#REF!</definedName>
    <definedName name="LinhaLiq7" localSheetId="10">#REF!</definedName>
    <definedName name="LinhaLiq7" localSheetId="11">#REF!</definedName>
    <definedName name="LinhaLiq7" localSheetId="12">#REF!</definedName>
    <definedName name="LinhaLiq7" localSheetId="13">#REF!</definedName>
    <definedName name="LinhaLiq7" localSheetId="14">#REF!</definedName>
    <definedName name="LinhaLiq7" localSheetId="15">#REF!</definedName>
    <definedName name="LinhaLiq8" localSheetId="4">#REF!</definedName>
    <definedName name="LinhaLiq8" localSheetId="5">#REF!</definedName>
    <definedName name="LinhaLiq8" localSheetId="6">#REF!</definedName>
    <definedName name="LinhaLiq8" localSheetId="7">#REF!</definedName>
    <definedName name="LinhaLiq8" localSheetId="8">#REF!</definedName>
    <definedName name="LinhaLiq8" localSheetId="9">#REF!</definedName>
    <definedName name="LinhaLiq8" localSheetId="10">#REF!</definedName>
    <definedName name="LinhaLiq8" localSheetId="11">#REF!</definedName>
    <definedName name="LinhaLiq8" localSheetId="12">#REF!</definedName>
    <definedName name="LinhaLiq8" localSheetId="13">#REF!</definedName>
    <definedName name="LinhaLiq8" localSheetId="14">#REF!</definedName>
    <definedName name="LinhaLiq8" localSheetId="15">#REF!</definedName>
    <definedName name="LinhaLiq9" localSheetId="4">#REF!</definedName>
    <definedName name="LinhaLiq9" localSheetId="5">#REF!</definedName>
    <definedName name="LinhaLiq9" localSheetId="6">#REF!</definedName>
    <definedName name="LinhaLiq9" localSheetId="7">#REF!</definedName>
    <definedName name="LinhaLiq9" localSheetId="8">#REF!</definedName>
    <definedName name="LinhaLiq9" localSheetId="9">#REF!</definedName>
    <definedName name="LinhaLiq9" localSheetId="10">#REF!</definedName>
    <definedName name="LinhaLiq9" localSheetId="11">#REF!</definedName>
    <definedName name="LinhaLiq9" localSheetId="12">#REF!</definedName>
    <definedName name="LinhaLiq9" localSheetId="13">#REF!</definedName>
    <definedName name="LinhaLiq9" localSheetId="14">#REF!</definedName>
    <definedName name="LinhaLiq9" localSheetId="15">#REF!</definedName>
    <definedName name="LinhaProduto" localSheetId="4">#REF!</definedName>
    <definedName name="LinhaProduto" localSheetId="5">#REF!</definedName>
    <definedName name="LinhaProduto" localSheetId="6">#REF!</definedName>
    <definedName name="LinhaProduto" localSheetId="7">#REF!</definedName>
    <definedName name="LinhaProduto" localSheetId="8">#REF!</definedName>
    <definedName name="LinhaProduto" localSheetId="9">#REF!</definedName>
    <definedName name="LinhaProduto" localSheetId="10">#REF!</definedName>
    <definedName name="LinhaProduto" localSheetId="11">#REF!</definedName>
    <definedName name="LinhaProduto" localSheetId="12">#REF!</definedName>
    <definedName name="LinhaProduto" localSheetId="13">#REF!</definedName>
    <definedName name="LinhaProduto" localSheetId="14">#REF!</definedName>
    <definedName name="LinhaProduto" localSheetId="15">#REF!</definedName>
    <definedName name="LinhaProdutos" localSheetId="4">#REF!</definedName>
    <definedName name="LinhaProdutos" localSheetId="5">#REF!</definedName>
    <definedName name="LinhaProdutos" localSheetId="6">#REF!</definedName>
    <definedName name="LinhaProdutos" localSheetId="7">#REF!</definedName>
    <definedName name="LinhaProdutos" localSheetId="8">#REF!</definedName>
    <definedName name="LinhaProdutos" localSheetId="9">#REF!</definedName>
    <definedName name="LinhaProdutos" localSheetId="10">#REF!</definedName>
    <definedName name="LinhaProdutos" localSheetId="11">#REF!</definedName>
    <definedName name="LinhaProdutos" localSheetId="12">#REF!</definedName>
    <definedName name="LinhaProdutos" localSheetId="13">#REF!</definedName>
    <definedName name="LinhaProdutos" localSheetId="14">#REF!</definedName>
    <definedName name="LinhaProdutos" localSheetId="15">#REF!</definedName>
    <definedName name="LiqDescrição1" localSheetId="4">#REF!</definedName>
    <definedName name="LiqDescrição1" localSheetId="5">#REF!</definedName>
    <definedName name="LiqDescrição1" localSheetId="6">#REF!</definedName>
    <definedName name="LiqDescrição1" localSheetId="7">#REF!</definedName>
    <definedName name="LiqDescrição1" localSheetId="8">#REF!</definedName>
    <definedName name="LiqDescrição1" localSheetId="9">#REF!</definedName>
    <definedName name="LiqDescrição1" localSheetId="10">#REF!</definedName>
    <definedName name="LiqDescrição1" localSheetId="11">#REF!</definedName>
    <definedName name="LiqDescrição1" localSheetId="12">#REF!</definedName>
    <definedName name="LiqDescrição1" localSheetId="13">#REF!</definedName>
    <definedName name="LiqDescrição1" localSheetId="14">#REF!</definedName>
    <definedName name="LiqDescrição1" localSheetId="15">#REF!</definedName>
    <definedName name="LiqDescrição10" localSheetId="4">#REF!</definedName>
    <definedName name="LiqDescrição10" localSheetId="5">#REF!</definedName>
    <definedName name="LiqDescrição10" localSheetId="6">#REF!</definedName>
    <definedName name="LiqDescrição10" localSheetId="7">#REF!</definedName>
    <definedName name="LiqDescrição10" localSheetId="8">#REF!</definedName>
    <definedName name="LiqDescrição10" localSheetId="9">#REF!</definedName>
    <definedName name="LiqDescrição10" localSheetId="10">#REF!</definedName>
    <definedName name="LiqDescrição10" localSheetId="11">#REF!</definedName>
    <definedName name="LiqDescrição10" localSheetId="12">#REF!</definedName>
    <definedName name="LiqDescrição10" localSheetId="13">#REF!</definedName>
    <definedName name="LiqDescrição10" localSheetId="14">#REF!</definedName>
    <definedName name="LiqDescrição10" localSheetId="15">#REF!</definedName>
    <definedName name="LiqDescrição2" localSheetId="4">#REF!</definedName>
    <definedName name="LiqDescrição2" localSheetId="5">#REF!</definedName>
    <definedName name="LiqDescrição2" localSheetId="6">#REF!</definedName>
    <definedName name="LiqDescrição2" localSheetId="7">#REF!</definedName>
    <definedName name="LiqDescrição2" localSheetId="8">#REF!</definedName>
    <definedName name="LiqDescrição2" localSheetId="9">#REF!</definedName>
    <definedName name="LiqDescrição2" localSheetId="10">#REF!</definedName>
    <definedName name="LiqDescrição2" localSheetId="11">#REF!</definedName>
    <definedName name="LiqDescrição2" localSheetId="12">#REF!</definedName>
    <definedName name="LiqDescrição2" localSheetId="13">#REF!</definedName>
    <definedName name="LiqDescrição2" localSheetId="14">#REF!</definedName>
    <definedName name="LiqDescrição2" localSheetId="15">#REF!</definedName>
    <definedName name="LiqDescrição3" localSheetId="4">#REF!</definedName>
    <definedName name="LiqDescrição3" localSheetId="5">#REF!</definedName>
    <definedName name="LiqDescrição3" localSheetId="6">#REF!</definedName>
    <definedName name="LiqDescrição3" localSheetId="7">#REF!</definedName>
    <definedName name="LiqDescrição3" localSheetId="8">#REF!</definedName>
    <definedName name="LiqDescrição3" localSheetId="9">#REF!</definedName>
    <definedName name="LiqDescrição3" localSheetId="10">#REF!</definedName>
    <definedName name="LiqDescrição3" localSheetId="11">#REF!</definedName>
    <definedName name="LiqDescrição3" localSheetId="12">#REF!</definedName>
    <definedName name="LiqDescrição3" localSheetId="13">#REF!</definedName>
    <definedName name="LiqDescrição3" localSheetId="14">#REF!</definedName>
    <definedName name="LiqDescrição3" localSheetId="15">#REF!</definedName>
    <definedName name="LiqDescrição4" localSheetId="4">#REF!</definedName>
    <definedName name="LiqDescrição4" localSheetId="5">#REF!</definedName>
    <definedName name="LiqDescrição4" localSheetId="6">#REF!</definedName>
    <definedName name="LiqDescrição4" localSheetId="7">#REF!</definedName>
    <definedName name="LiqDescrição4" localSheetId="8">#REF!</definedName>
    <definedName name="LiqDescrição4" localSheetId="9">#REF!</definedName>
    <definedName name="LiqDescrição4" localSheetId="10">#REF!</definedName>
    <definedName name="LiqDescrição4" localSheetId="11">#REF!</definedName>
    <definedName name="LiqDescrição4" localSheetId="12">#REF!</definedName>
    <definedName name="LiqDescrição4" localSheetId="13">#REF!</definedName>
    <definedName name="LiqDescrição4" localSheetId="14">#REF!</definedName>
    <definedName name="LiqDescrição4" localSheetId="15">#REF!</definedName>
    <definedName name="LiqDescrição5" localSheetId="4">#REF!</definedName>
    <definedName name="LiqDescrição5" localSheetId="5">#REF!</definedName>
    <definedName name="LiqDescrição5" localSheetId="6">#REF!</definedName>
    <definedName name="LiqDescrição5" localSheetId="7">#REF!</definedName>
    <definedName name="LiqDescrição5" localSheetId="8">#REF!</definedName>
    <definedName name="LiqDescrição5" localSheetId="9">#REF!</definedName>
    <definedName name="LiqDescrição5" localSheetId="10">#REF!</definedName>
    <definedName name="LiqDescrição5" localSheetId="11">#REF!</definedName>
    <definedName name="LiqDescrição5" localSheetId="12">#REF!</definedName>
    <definedName name="LiqDescrição5" localSheetId="13">#REF!</definedName>
    <definedName name="LiqDescrição5" localSheetId="14">#REF!</definedName>
    <definedName name="LiqDescrição5" localSheetId="15">#REF!</definedName>
    <definedName name="LiqDescrição6" localSheetId="4">#REF!</definedName>
    <definedName name="LiqDescrição6" localSheetId="5">#REF!</definedName>
    <definedName name="LiqDescrição6" localSheetId="6">#REF!</definedName>
    <definedName name="LiqDescrição6" localSheetId="7">#REF!</definedName>
    <definedName name="LiqDescrição6" localSheetId="8">#REF!</definedName>
    <definedName name="LiqDescrição6" localSheetId="9">#REF!</definedName>
    <definedName name="LiqDescrição6" localSheetId="10">#REF!</definedName>
    <definedName name="LiqDescrição6" localSheetId="11">#REF!</definedName>
    <definedName name="LiqDescrição6" localSheetId="12">#REF!</definedName>
    <definedName name="LiqDescrição6" localSheetId="13">#REF!</definedName>
    <definedName name="LiqDescrição6" localSheetId="14">#REF!</definedName>
    <definedName name="LiqDescrição6" localSheetId="15">#REF!</definedName>
    <definedName name="LiqDescrição7" localSheetId="4">#REF!</definedName>
    <definedName name="LiqDescrição7" localSheetId="5">#REF!</definedName>
    <definedName name="LiqDescrição7" localSheetId="6">#REF!</definedName>
    <definedName name="LiqDescrição7" localSheetId="7">#REF!</definedName>
    <definedName name="LiqDescrição7" localSheetId="8">#REF!</definedName>
    <definedName name="LiqDescrição7" localSheetId="9">#REF!</definedName>
    <definedName name="LiqDescrição7" localSheetId="10">#REF!</definedName>
    <definedName name="LiqDescrição7" localSheetId="11">#REF!</definedName>
    <definedName name="LiqDescrição7" localSheetId="12">#REF!</definedName>
    <definedName name="LiqDescrição7" localSheetId="13">#REF!</definedName>
    <definedName name="LiqDescrição7" localSheetId="14">#REF!</definedName>
    <definedName name="LiqDescrição7" localSheetId="15">#REF!</definedName>
    <definedName name="LiqDescrição8" localSheetId="4">#REF!</definedName>
    <definedName name="LiqDescrição8" localSheetId="5">#REF!</definedName>
    <definedName name="LiqDescrição8" localSheetId="6">#REF!</definedName>
    <definedName name="LiqDescrição8" localSheetId="7">#REF!</definedName>
    <definedName name="LiqDescrição8" localSheetId="8">#REF!</definedName>
    <definedName name="LiqDescrição8" localSheetId="9">#REF!</definedName>
    <definedName name="LiqDescrição8" localSheetId="10">#REF!</definedName>
    <definedName name="LiqDescrição8" localSheetId="11">#REF!</definedName>
    <definedName name="LiqDescrição8" localSheetId="12">#REF!</definedName>
    <definedName name="LiqDescrição8" localSheetId="13">#REF!</definedName>
    <definedName name="LiqDescrição8" localSheetId="14">#REF!</definedName>
    <definedName name="LiqDescrição8" localSheetId="15">#REF!</definedName>
    <definedName name="LiqDescrição9" localSheetId="4">#REF!</definedName>
    <definedName name="LiqDescrição9" localSheetId="5">#REF!</definedName>
    <definedName name="LiqDescrição9" localSheetId="6">#REF!</definedName>
    <definedName name="LiqDescrição9" localSheetId="7">#REF!</definedName>
    <definedName name="LiqDescrição9" localSheetId="8">#REF!</definedName>
    <definedName name="LiqDescrição9" localSheetId="9">#REF!</definedName>
    <definedName name="LiqDescrição9" localSheetId="10">#REF!</definedName>
    <definedName name="LiqDescrição9" localSheetId="11">#REF!</definedName>
    <definedName name="LiqDescrição9" localSheetId="12">#REF!</definedName>
    <definedName name="LiqDescrição9" localSheetId="13">#REF!</definedName>
    <definedName name="LiqDescrição9" localSheetId="14">#REF!</definedName>
    <definedName name="LiqDescrição9" localSheetId="15">#REF!</definedName>
    <definedName name="LiqOrigem1" localSheetId="4">#REF!</definedName>
    <definedName name="LiqOrigem1" localSheetId="5">#REF!</definedName>
    <definedName name="LiqOrigem1" localSheetId="6">#REF!</definedName>
    <definedName name="LiqOrigem1" localSheetId="7">#REF!</definedName>
    <definedName name="LiqOrigem1" localSheetId="8">#REF!</definedName>
    <definedName name="LiqOrigem1" localSheetId="9">#REF!</definedName>
    <definedName name="LiqOrigem1" localSheetId="10">#REF!</definedName>
    <definedName name="LiqOrigem1" localSheetId="11">#REF!</definedName>
    <definedName name="LiqOrigem1" localSheetId="12">#REF!</definedName>
    <definedName name="LiqOrigem1" localSheetId="13">#REF!</definedName>
    <definedName name="LiqOrigem1" localSheetId="14">#REF!</definedName>
    <definedName name="LiqOrigem1" localSheetId="15">#REF!</definedName>
    <definedName name="LiqOrigem10" localSheetId="4">#REF!</definedName>
    <definedName name="LiqOrigem10" localSheetId="5">#REF!</definedName>
    <definedName name="LiqOrigem10" localSheetId="6">#REF!</definedName>
    <definedName name="LiqOrigem10" localSheetId="7">#REF!</definedName>
    <definedName name="LiqOrigem10" localSheetId="8">#REF!</definedName>
    <definedName name="LiqOrigem10" localSheetId="9">#REF!</definedName>
    <definedName name="LiqOrigem10" localSheetId="10">#REF!</definedName>
    <definedName name="LiqOrigem10" localSheetId="11">#REF!</definedName>
    <definedName name="LiqOrigem10" localSheetId="12">#REF!</definedName>
    <definedName name="LiqOrigem10" localSheetId="13">#REF!</definedName>
    <definedName name="LiqOrigem10" localSheetId="14">#REF!</definedName>
    <definedName name="LiqOrigem10" localSheetId="15">#REF!</definedName>
    <definedName name="LiqOrigem2" localSheetId="4">#REF!</definedName>
    <definedName name="LiqOrigem2" localSheetId="5">#REF!</definedName>
    <definedName name="LiqOrigem2" localSheetId="6">#REF!</definedName>
    <definedName name="LiqOrigem2" localSheetId="7">#REF!</definedName>
    <definedName name="LiqOrigem2" localSheetId="8">#REF!</definedName>
    <definedName name="LiqOrigem2" localSheetId="9">#REF!</definedName>
    <definedName name="LiqOrigem2" localSheetId="10">#REF!</definedName>
    <definedName name="LiqOrigem2" localSheetId="11">#REF!</definedName>
    <definedName name="LiqOrigem2" localSheetId="12">#REF!</definedName>
    <definedName name="LiqOrigem2" localSheetId="13">#REF!</definedName>
    <definedName name="LiqOrigem2" localSheetId="14">#REF!</definedName>
    <definedName name="LiqOrigem2" localSheetId="15">#REF!</definedName>
    <definedName name="LiqOrigem3" localSheetId="4">#REF!</definedName>
    <definedName name="LiqOrigem3" localSheetId="5">#REF!</definedName>
    <definedName name="LiqOrigem3" localSheetId="6">#REF!</definedName>
    <definedName name="LiqOrigem3" localSheetId="7">#REF!</definedName>
    <definedName name="LiqOrigem3" localSheetId="8">#REF!</definedName>
    <definedName name="LiqOrigem3" localSheetId="9">#REF!</definedName>
    <definedName name="LiqOrigem3" localSheetId="10">#REF!</definedName>
    <definedName name="LiqOrigem3" localSheetId="11">#REF!</definedName>
    <definedName name="LiqOrigem3" localSheetId="12">#REF!</definedName>
    <definedName name="LiqOrigem3" localSheetId="13">#REF!</definedName>
    <definedName name="LiqOrigem3" localSheetId="14">#REF!</definedName>
    <definedName name="LiqOrigem3" localSheetId="15">#REF!</definedName>
    <definedName name="LiqOrigem4" localSheetId="4">#REF!</definedName>
    <definedName name="LiqOrigem4" localSheetId="5">#REF!</definedName>
    <definedName name="LiqOrigem4" localSheetId="6">#REF!</definedName>
    <definedName name="LiqOrigem4" localSheetId="7">#REF!</definedName>
    <definedName name="LiqOrigem4" localSheetId="8">#REF!</definedName>
    <definedName name="LiqOrigem4" localSheetId="9">#REF!</definedName>
    <definedName name="LiqOrigem4" localSheetId="10">#REF!</definedName>
    <definedName name="LiqOrigem4" localSheetId="11">#REF!</definedName>
    <definedName name="LiqOrigem4" localSheetId="12">#REF!</definedName>
    <definedName name="LiqOrigem4" localSheetId="13">#REF!</definedName>
    <definedName name="LiqOrigem4" localSheetId="14">#REF!</definedName>
    <definedName name="LiqOrigem4" localSheetId="15">#REF!</definedName>
    <definedName name="LiqOrigem5" localSheetId="4">#REF!</definedName>
    <definedName name="LiqOrigem5" localSheetId="5">#REF!</definedName>
    <definedName name="LiqOrigem5" localSheetId="6">#REF!</definedName>
    <definedName name="LiqOrigem5" localSheetId="7">#REF!</definedName>
    <definedName name="LiqOrigem5" localSheetId="8">#REF!</definedName>
    <definedName name="LiqOrigem5" localSheetId="9">#REF!</definedName>
    <definedName name="LiqOrigem5" localSheetId="10">#REF!</definedName>
    <definedName name="LiqOrigem5" localSheetId="11">#REF!</definedName>
    <definedName name="LiqOrigem5" localSheetId="12">#REF!</definedName>
    <definedName name="LiqOrigem5" localSheetId="13">#REF!</definedName>
    <definedName name="LiqOrigem5" localSheetId="14">#REF!</definedName>
    <definedName name="LiqOrigem5" localSheetId="15">#REF!</definedName>
    <definedName name="LiqOrigem6" localSheetId="4">#REF!</definedName>
    <definedName name="LiqOrigem6" localSheetId="5">#REF!</definedName>
    <definedName name="LiqOrigem6" localSheetId="6">#REF!</definedName>
    <definedName name="LiqOrigem6" localSheetId="7">#REF!</definedName>
    <definedName name="LiqOrigem6" localSheetId="8">#REF!</definedName>
    <definedName name="LiqOrigem6" localSheetId="9">#REF!</definedName>
    <definedName name="LiqOrigem6" localSheetId="10">#REF!</definedName>
    <definedName name="LiqOrigem6" localSheetId="11">#REF!</definedName>
    <definedName name="LiqOrigem6" localSheetId="12">#REF!</definedName>
    <definedName name="LiqOrigem6" localSheetId="13">#REF!</definedName>
    <definedName name="LiqOrigem6" localSheetId="14">#REF!</definedName>
    <definedName name="LiqOrigem6" localSheetId="15">#REF!</definedName>
    <definedName name="LiqOrigem7" localSheetId="4">#REF!</definedName>
    <definedName name="LiqOrigem7" localSheetId="5">#REF!</definedName>
    <definedName name="LiqOrigem7" localSheetId="6">#REF!</definedName>
    <definedName name="LiqOrigem7" localSheetId="7">#REF!</definedName>
    <definedName name="LiqOrigem7" localSheetId="8">#REF!</definedName>
    <definedName name="LiqOrigem7" localSheetId="9">#REF!</definedName>
    <definedName name="LiqOrigem7" localSheetId="10">#REF!</definedName>
    <definedName name="LiqOrigem7" localSheetId="11">#REF!</definedName>
    <definedName name="LiqOrigem7" localSheetId="12">#REF!</definedName>
    <definedName name="LiqOrigem7" localSheetId="13">#REF!</definedName>
    <definedName name="LiqOrigem7" localSheetId="14">#REF!</definedName>
    <definedName name="LiqOrigem7" localSheetId="15">#REF!</definedName>
    <definedName name="LiqOrigem8" localSheetId="4">#REF!</definedName>
    <definedName name="LiqOrigem8" localSheetId="5">#REF!</definedName>
    <definedName name="LiqOrigem8" localSheetId="6">#REF!</definedName>
    <definedName name="LiqOrigem8" localSheetId="7">#REF!</definedName>
    <definedName name="LiqOrigem8" localSheetId="8">#REF!</definedName>
    <definedName name="LiqOrigem8" localSheetId="9">#REF!</definedName>
    <definedName name="LiqOrigem8" localSheetId="10">#REF!</definedName>
    <definedName name="LiqOrigem8" localSheetId="11">#REF!</definedName>
    <definedName name="LiqOrigem8" localSheetId="12">#REF!</definedName>
    <definedName name="LiqOrigem8" localSheetId="13">#REF!</definedName>
    <definedName name="LiqOrigem8" localSheetId="14">#REF!</definedName>
    <definedName name="LiqOrigem8" localSheetId="15">#REF!</definedName>
    <definedName name="LiqOrigem9" localSheetId="4">#REF!</definedName>
    <definedName name="LiqOrigem9" localSheetId="5">#REF!</definedName>
    <definedName name="LiqOrigem9" localSheetId="6">#REF!</definedName>
    <definedName name="LiqOrigem9" localSheetId="7">#REF!</definedName>
    <definedName name="LiqOrigem9" localSheetId="8">#REF!</definedName>
    <definedName name="LiqOrigem9" localSheetId="9">#REF!</definedName>
    <definedName name="LiqOrigem9" localSheetId="10">#REF!</definedName>
    <definedName name="LiqOrigem9" localSheetId="11">#REF!</definedName>
    <definedName name="LiqOrigem9" localSheetId="12">#REF!</definedName>
    <definedName name="LiqOrigem9" localSheetId="13">#REF!</definedName>
    <definedName name="LiqOrigem9" localSheetId="14">#REF!</definedName>
    <definedName name="LiqOrigem9" localSheetId="15">#REF!</definedName>
    <definedName name="LiqSímbolo1" localSheetId="4">#REF!</definedName>
    <definedName name="LiqSímbolo1" localSheetId="5">#REF!</definedName>
    <definedName name="LiqSímbolo1" localSheetId="6">#REF!</definedName>
    <definedName name="LiqSímbolo1" localSheetId="7">#REF!</definedName>
    <definedName name="LiqSímbolo1" localSheetId="8">#REF!</definedName>
    <definedName name="LiqSímbolo1" localSheetId="9">#REF!</definedName>
    <definedName name="LiqSímbolo1" localSheetId="10">#REF!</definedName>
    <definedName name="LiqSímbolo1" localSheetId="11">#REF!</definedName>
    <definedName name="LiqSímbolo1" localSheetId="12">#REF!</definedName>
    <definedName name="LiqSímbolo1" localSheetId="13">#REF!</definedName>
    <definedName name="LiqSímbolo1" localSheetId="14">#REF!</definedName>
    <definedName name="LiqSímbolo1" localSheetId="15">#REF!</definedName>
    <definedName name="LiqSímbolo10" localSheetId="4">#REF!</definedName>
    <definedName name="LiqSímbolo10" localSheetId="5">#REF!</definedName>
    <definedName name="LiqSímbolo10" localSheetId="6">#REF!</definedName>
    <definedName name="LiqSímbolo10" localSheetId="7">#REF!</definedName>
    <definedName name="LiqSímbolo10" localSheetId="8">#REF!</definedName>
    <definedName name="LiqSímbolo10" localSheetId="9">#REF!</definedName>
    <definedName name="LiqSímbolo10" localSheetId="10">#REF!</definedName>
    <definedName name="LiqSímbolo10" localSheetId="11">#REF!</definedName>
    <definedName name="LiqSímbolo10" localSheetId="12">#REF!</definedName>
    <definedName name="LiqSímbolo10" localSheetId="13">#REF!</definedName>
    <definedName name="LiqSímbolo10" localSheetId="14">#REF!</definedName>
    <definedName name="LiqSímbolo10" localSheetId="15">#REF!</definedName>
    <definedName name="LiqSímbolo2" localSheetId="4">#REF!</definedName>
    <definedName name="LiqSímbolo2" localSheetId="5">#REF!</definedName>
    <definedName name="LiqSímbolo2" localSheetId="6">#REF!</definedName>
    <definedName name="LiqSímbolo2" localSheetId="7">#REF!</definedName>
    <definedName name="LiqSímbolo2" localSheetId="8">#REF!</definedName>
    <definedName name="LiqSímbolo2" localSheetId="9">#REF!</definedName>
    <definedName name="LiqSímbolo2" localSheetId="10">#REF!</definedName>
    <definedName name="LiqSímbolo2" localSheetId="11">#REF!</definedName>
    <definedName name="LiqSímbolo2" localSheetId="12">#REF!</definedName>
    <definedName name="LiqSímbolo2" localSheetId="13">#REF!</definedName>
    <definedName name="LiqSímbolo2" localSheetId="14">#REF!</definedName>
    <definedName name="LiqSímbolo2" localSheetId="15">#REF!</definedName>
    <definedName name="LiqSímbolo3" localSheetId="4">#REF!</definedName>
    <definedName name="LiqSímbolo3" localSheetId="5">#REF!</definedName>
    <definedName name="LiqSímbolo3" localSheetId="6">#REF!</definedName>
    <definedName name="LiqSímbolo3" localSheetId="7">#REF!</definedName>
    <definedName name="LiqSímbolo3" localSheetId="8">#REF!</definedName>
    <definedName name="LiqSímbolo3" localSheetId="9">#REF!</definedName>
    <definedName name="LiqSímbolo3" localSheetId="10">#REF!</definedName>
    <definedName name="LiqSímbolo3" localSheetId="11">#REF!</definedName>
    <definedName name="LiqSímbolo3" localSheetId="12">#REF!</definedName>
    <definedName name="LiqSímbolo3" localSheetId="13">#REF!</definedName>
    <definedName name="LiqSímbolo3" localSheetId="14">#REF!</definedName>
    <definedName name="LiqSímbolo3" localSheetId="15">#REF!</definedName>
    <definedName name="LiqSímbolo4" localSheetId="4">#REF!</definedName>
    <definedName name="LiqSímbolo4" localSheetId="5">#REF!</definedName>
    <definedName name="LiqSímbolo4" localSheetId="6">#REF!</definedName>
    <definedName name="LiqSímbolo4" localSheetId="7">#REF!</definedName>
    <definedName name="LiqSímbolo4" localSheetId="8">#REF!</definedName>
    <definedName name="LiqSímbolo4" localSheetId="9">#REF!</definedName>
    <definedName name="LiqSímbolo4" localSheetId="10">#REF!</definedName>
    <definedName name="LiqSímbolo4" localSheetId="11">#REF!</definedName>
    <definedName name="LiqSímbolo4" localSheetId="12">#REF!</definedName>
    <definedName name="LiqSímbolo4" localSheetId="13">#REF!</definedName>
    <definedName name="LiqSímbolo4" localSheetId="14">#REF!</definedName>
    <definedName name="LiqSímbolo4" localSheetId="15">#REF!</definedName>
    <definedName name="LiqSímbolo5" localSheetId="4">#REF!</definedName>
    <definedName name="LiqSímbolo5" localSheetId="5">#REF!</definedName>
    <definedName name="LiqSímbolo5" localSheetId="6">#REF!</definedName>
    <definedName name="LiqSímbolo5" localSheetId="7">#REF!</definedName>
    <definedName name="LiqSímbolo5" localSheetId="8">#REF!</definedName>
    <definedName name="LiqSímbolo5" localSheetId="9">#REF!</definedName>
    <definedName name="LiqSímbolo5" localSheetId="10">#REF!</definedName>
    <definedName name="LiqSímbolo5" localSheetId="11">#REF!</definedName>
    <definedName name="LiqSímbolo5" localSheetId="12">#REF!</definedName>
    <definedName name="LiqSímbolo5" localSheetId="13">#REF!</definedName>
    <definedName name="LiqSímbolo5" localSheetId="14">#REF!</definedName>
    <definedName name="LiqSímbolo5" localSheetId="15">#REF!</definedName>
    <definedName name="LiqSímbolo6" localSheetId="4">#REF!</definedName>
    <definedName name="LiqSímbolo6" localSheetId="5">#REF!</definedName>
    <definedName name="LiqSímbolo6" localSheetId="6">#REF!</definedName>
    <definedName name="LiqSímbolo6" localSheetId="7">#REF!</definedName>
    <definedName name="LiqSímbolo6" localSheetId="8">#REF!</definedName>
    <definedName name="LiqSímbolo6" localSheetId="9">#REF!</definedName>
    <definedName name="LiqSímbolo6" localSheetId="10">#REF!</definedName>
    <definedName name="LiqSímbolo6" localSheetId="11">#REF!</definedName>
    <definedName name="LiqSímbolo6" localSheetId="12">#REF!</definedName>
    <definedName name="LiqSímbolo6" localSheetId="13">#REF!</definedName>
    <definedName name="LiqSímbolo6" localSheetId="14">#REF!</definedName>
    <definedName name="LiqSímbolo6" localSheetId="15">#REF!</definedName>
    <definedName name="LiqSímbolo7" localSheetId="4">#REF!</definedName>
    <definedName name="LiqSímbolo7" localSheetId="5">#REF!</definedName>
    <definedName name="LiqSímbolo7" localSheetId="6">#REF!</definedName>
    <definedName name="LiqSímbolo7" localSheetId="7">#REF!</definedName>
    <definedName name="LiqSímbolo7" localSheetId="8">#REF!</definedName>
    <definedName name="LiqSímbolo7" localSheetId="9">#REF!</definedName>
    <definedName name="LiqSímbolo7" localSheetId="10">#REF!</definedName>
    <definedName name="LiqSímbolo7" localSheetId="11">#REF!</definedName>
    <definedName name="LiqSímbolo7" localSheetId="12">#REF!</definedName>
    <definedName name="LiqSímbolo7" localSheetId="13">#REF!</definedName>
    <definedName name="LiqSímbolo7" localSheetId="14">#REF!</definedName>
    <definedName name="LiqSímbolo7" localSheetId="15">#REF!</definedName>
    <definedName name="LiqSímbolo8" localSheetId="4">#REF!</definedName>
    <definedName name="LiqSímbolo8" localSheetId="5">#REF!</definedName>
    <definedName name="LiqSímbolo8" localSheetId="6">#REF!</definedName>
    <definedName name="LiqSímbolo8" localSheetId="7">#REF!</definedName>
    <definedName name="LiqSímbolo8" localSheetId="8">#REF!</definedName>
    <definedName name="LiqSímbolo8" localSheetId="9">#REF!</definedName>
    <definedName name="LiqSímbolo8" localSheetId="10">#REF!</definedName>
    <definedName name="LiqSímbolo8" localSheetId="11">#REF!</definedName>
    <definedName name="LiqSímbolo8" localSheetId="12">#REF!</definedName>
    <definedName name="LiqSímbolo8" localSheetId="13">#REF!</definedName>
    <definedName name="LiqSímbolo8" localSheetId="14">#REF!</definedName>
    <definedName name="LiqSímbolo8" localSheetId="15">#REF!</definedName>
    <definedName name="LiqSímbolo9" localSheetId="4">#REF!</definedName>
    <definedName name="LiqSímbolo9" localSheetId="5">#REF!</definedName>
    <definedName name="LiqSímbolo9" localSheetId="6">#REF!</definedName>
    <definedName name="LiqSímbolo9" localSheetId="7">#REF!</definedName>
    <definedName name="LiqSímbolo9" localSheetId="8">#REF!</definedName>
    <definedName name="LiqSímbolo9" localSheetId="9">#REF!</definedName>
    <definedName name="LiqSímbolo9" localSheetId="10">#REF!</definedName>
    <definedName name="LiqSímbolo9" localSheetId="11">#REF!</definedName>
    <definedName name="LiqSímbolo9" localSheetId="12">#REF!</definedName>
    <definedName name="LiqSímbolo9" localSheetId="13">#REF!</definedName>
    <definedName name="LiqSímbolo9" localSheetId="14">#REF!</definedName>
    <definedName name="LiqSímbolo9" localSheetId="15">#REF!</definedName>
    <definedName name="LiquidFlowDescription" localSheetId="4">#REF!</definedName>
    <definedName name="LiquidFlowDescription" localSheetId="5">#REF!</definedName>
    <definedName name="LiquidFlowDescription" localSheetId="6">#REF!</definedName>
    <definedName name="LiquidFlowDescription" localSheetId="7">#REF!</definedName>
    <definedName name="LiquidFlowDescription" localSheetId="8">#REF!</definedName>
    <definedName name="LiquidFlowDescription" localSheetId="9">#REF!</definedName>
    <definedName name="LiquidFlowDescription" localSheetId="10">#REF!</definedName>
    <definedName name="LiquidFlowDescription" localSheetId="11">#REF!</definedName>
    <definedName name="LiquidFlowDescription" localSheetId="12">#REF!</definedName>
    <definedName name="LiquidFlowDescription" localSheetId="13">#REF!</definedName>
    <definedName name="LiquidFlowDescription" localSheetId="14">#REF!</definedName>
    <definedName name="LiquidFlowDescription" localSheetId="15">#REF!</definedName>
    <definedName name="LiquidFlowSymbol" localSheetId="4">#REF!</definedName>
    <definedName name="LiquidFlowSymbol" localSheetId="5">#REF!</definedName>
    <definedName name="LiquidFlowSymbol" localSheetId="6">#REF!</definedName>
    <definedName name="LiquidFlowSymbol" localSheetId="7">#REF!</definedName>
    <definedName name="LiquidFlowSymbol" localSheetId="8">#REF!</definedName>
    <definedName name="LiquidFlowSymbol" localSheetId="9">#REF!</definedName>
    <definedName name="LiquidFlowSymbol" localSheetId="10">#REF!</definedName>
    <definedName name="LiquidFlowSymbol" localSheetId="11">#REF!</definedName>
    <definedName name="LiquidFlowSymbol" localSheetId="12">#REF!</definedName>
    <definedName name="LiquidFlowSymbol" localSheetId="13">#REF!</definedName>
    <definedName name="LiquidFlowSymbol" localSheetId="14">#REF!</definedName>
    <definedName name="LiquidFlowSymbol" localSheetId="15">#REF!</definedName>
    <definedName name="LiqValor1" localSheetId="4">#REF!</definedName>
    <definedName name="LiqValor1" localSheetId="5">#REF!</definedName>
    <definedName name="LiqValor1" localSheetId="6">#REF!</definedName>
    <definedName name="LiqValor1" localSheetId="7">#REF!</definedName>
    <definedName name="LiqValor1" localSheetId="8">#REF!</definedName>
    <definedName name="LiqValor1" localSheetId="9">#REF!</definedName>
    <definedName name="LiqValor1" localSheetId="10">#REF!</definedName>
    <definedName name="LiqValor1" localSheetId="11">#REF!</definedName>
    <definedName name="LiqValor1" localSheetId="12">#REF!</definedName>
    <definedName name="LiqValor1" localSheetId="13">#REF!</definedName>
    <definedName name="LiqValor1" localSheetId="14">#REF!</definedName>
    <definedName name="LiqValor1" localSheetId="15">#REF!</definedName>
    <definedName name="LiqValor10" localSheetId="4">#REF!</definedName>
    <definedName name="LiqValor10" localSheetId="5">#REF!</definedName>
    <definedName name="LiqValor10" localSheetId="6">#REF!</definedName>
    <definedName name="LiqValor10" localSheetId="7">#REF!</definedName>
    <definedName name="LiqValor10" localSheetId="8">#REF!</definedName>
    <definedName name="LiqValor10" localSheetId="9">#REF!</definedName>
    <definedName name="LiqValor10" localSheetId="10">#REF!</definedName>
    <definedName name="LiqValor10" localSheetId="11">#REF!</definedName>
    <definedName name="LiqValor10" localSheetId="12">#REF!</definedName>
    <definedName name="LiqValor10" localSheetId="13">#REF!</definedName>
    <definedName name="LiqValor10" localSheetId="14">#REF!</definedName>
    <definedName name="LiqValor10" localSheetId="15">#REF!</definedName>
    <definedName name="LiqValor2" localSheetId="4">#REF!</definedName>
    <definedName name="LiqValor2" localSheetId="5">#REF!</definedName>
    <definedName name="LiqValor2" localSheetId="6">#REF!</definedName>
    <definedName name="LiqValor2" localSheetId="7">#REF!</definedName>
    <definedName name="LiqValor2" localSheetId="8">#REF!</definedName>
    <definedName name="LiqValor2" localSheetId="9">#REF!</definedName>
    <definedName name="LiqValor2" localSheetId="10">#REF!</definedName>
    <definedName name="LiqValor2" localSheetId="11">#REF!</definedName>
    <definedName name="LiqValor2" localSheetId="12">#REF!</definedName>
    <definedName name="LiqValor2" localSheetId="13">#REF!</definedName>
    <definedName name="LiqValor2" localSheetId="14">#REF!</definedName>
    <definedName name="LiqValor2" localSheetId="15">#REF!</definedName>
    <definedName name="LiqValor3" localSheetId="4">#REF!</definedName>
    <definedName name="LiqValor3" localSheetId="5">#REF!</definedName>
    <definedName name="LiqValor3" localSheetId="6">#REF!</definedName>
    <definedName name="LiqValor3" localSheetId="7">#REF!</definedName>
    <definedName name="LiqValor3" localSheetId="8">#REF!</definedName>
    <definedName name="LiqValor3" localSheetId="9">#REF!</definedName>
    <definedName name="LiqValor3" localSheetId="10">#REF!</definedName>
    <definedName name="LiqValor3" localSheetId="11">#REF!</definedName>
    <definedName name="LiqValor3" localSheetId="12">#REF!</definedName>
    <definedName name="LiqValor3" localSheetId="13">#REF!</definedName>
    <definedName name="LiqValor3" localSheetId="14">#REF!</definedName>
    <definedName name="LiqValor3" localSheetId="15">#REF!</definedName>
    <definedName name="LiqValor4" localSheetId="4">#REF!</definedName>
    <definedName name="LiqValor4" localSheetId="5">#REF!</definedName>
    <definedName name="LiqValor4" localSheetId="6">#REF!</definedName>
    <definedName name="LiqValor4" localSheetId="7">#REF!</definedName>
    <definedName name="LiqValor4" localSheetId="8">#REF!</definedName>
    <definedName name="LiqValor4" localSheetId="9">#REF!</definedName>
    <definedName name="LiqValor4" localSheetId="10">#REF!</definedName>
    <definedName name="LiqValor4" localSheetId="11">#REF!</definedName>
    <definedName name="LiqValor4" localSheetId="12">#REF!</definedName>
    <definedName name="LiqValor4" localSheetId="13">#REF!</definedName>
    <definedName name="LiqValor4" localSheetId="14">#REF!</definedName>
    <definedName name="LiqValor4" localSheetId="15">#REF!</definedName>
    <definedName name="LiqValor5" localSheetId="4">#REF!</definedName>
    <definedName name="LiqValor5" localSheetId="5">#REF!</definedName>
    <definedName name="LiqValor5" localSheetId="6">#REF!</definedName>
    <definedName name="LiqValor5" localSheetId="7">#REF!</definedName>
    <definedName name="LiqValor5" localSheetId="8">#REF!</definedName>
    <definedName name="LiqValor5" localSheetId="9">#REF!</definedName>
    <definedName name="LiqValor5" localSheetId="10">#REF!</definedName>
    <definedName name="LiqValor5" localSheetId="11">#REF!</definedName>
    <definedName name="LiqValor5" localSheetId="12">#REF!</definedName>
    <definedName name="LiqValor5" localSheetId="13">#REF!</definedName>
    <definedName name="LiqValor5" localSheetId="14">#REF!</definedName>
    <definedName name="LiqValor5" localSheetId="15">#REF!</definedName>
    <definedName name="LiqValor6" localSheetId="4">#REF!</definedName>
    <definedName name="LiqValor6" localSheetId="5">#REF!</definedName>
    <definedName name="LiqValor6" localSheetId="6">#REF!</definedName>
    <definedName name="LiqValor6" localSheetId="7">#REF!</definedName>
    <definedName name="LiqValor6" localSheetId="8">#REF!</definedName>
    <definedName name="LiqValor6" localSheetId="9">#REF!</definedName>
    <definedName name="LiqValor6" localSheetId="10">#REF!</definedName>
    <definedName name="LiqValor6" localSheetId="11">#REF!</definedName>
    <definedName name="LiqValor6" localSheetId="12">#REF!</definedName>
    <definedName name="LiqValor6" localSheetId="13">#REF!</definedName>
    <definedName name="LiqValor6" localSheetId="14">#REF!</definedName>
    <definedName name="LiqValor6" localSheetId="15">#REF!</definedName>
    <definedName name="LiqValor7" localSheetId="4">#REF!</definedName>
    <definedName name="LiqValor7" localSheetId="5">#REF!</definedName>
    <definedName name="LiqValor7" localSheetId="6">#REF!</definedName>
    <definedName name="LiqValor7" localSheetId="7">#REF!</definedName>
    <definedName name="LiqValor7" localSheetId="8">#REF!</definedName>
    <definedName name="LiqValor7" localSheetId="9">#REF!</definedName>
    <definedName name="LiqValor7" localSheetId="10">#REF!</definedName>
    <definedName name="LiqValor7" localSheetId="11">#REF!</definedName>
    <definedName name="LiqValor7" localSheetId="12">#REF!</definedName>
    <definedName name="LiqValor7" localSheetId="13">#REF!</definedName>
    <definedName name="LiqValor7" localSheetId="14">#REF!</definedName>
    <definedName name="LiqValor7" localSheetId="15">#REF!</definedName>
    <definedName name="LiqValor8" localSheetId="4">#REF!</definedName>
    <definedName name="LiqValor8" localSheetId="5">#REF!</definedName>
    <definedName name="LiqValor8" localSheetId="6">#REF!</definedName>
    <definedName name="LiqValor8" localSheetId="7">#REF!</definedName>
    <definedName name="LiqValor8" localSheetId="8">#REF!</definedName>
    <definedName name="LiqValor8" localSheetId="9">#REF!</definedName>
    <definedName name="LiqValor8" localSheetId="10">#REF!</definedName>
    <definedName name="LiqValor8" localSheetId="11">#REF!</definedName>
    <definedName name="LiqValor8" localSheetId="12">#REF!</definedName>
    <definedName name="LiqValor8" localSheetId="13">#REF!</definedName>
    <definedName name="LiqValor8" localSheetId="14">#REF!</definedName>
    <definedName name="LiqValor8" localSheetId="15">#REF!</definedName>
    <definedName name="LiqValor9" localSheetId="4">#REF!</definedName>
    <definedName name="LiqValor9" localSheetId="5">#REF!</definedName>
    <definedName name="LiqValor9" localSheetId="6">#REF!</definedName>
    <definedName name="LiqValor9" localSheetId="7">#REF!</definedName>
    <definedName name="LiqValor9" localSheetId="8">#REF!</definedName>
    <definedName name="LiqValor9" localSheetId="9">#REF!</definedName>
    <definedName name="LiqValor9" localSheetId="10">#REF!</definedName>
    <definedName name="LiqValor9" localSheetId="11">#REF!</definedName>
    <definedName name="LiqValor9" localSheetId="12">#REF!</definedName>
    <definedName name="LiqValor9" localSheetId="13">#REF!</definedName>
    <definedName name="LiqValor9" localSheetId="14">#REF!</definedName>
    <definedName name="LiqValor9" localSheetId="15">#REF!</definedName>
    <definedName name="LogoClienteCapa">Capa!$A$1:$C$4</definedName>
    <definedName name="LogoClienteFolha">Folhas!$A$1:$C$3</definedName>
    <definedName name="LogoTechnikCapa">Capa!$A$5:$C$8</definedName>
    <definedName name="LogoTechnikFolha">Folhas!$D$1:$F$3</definedName>
    <definedName name="MemorialCálculoTítulo" localSheetId="4">#REF!</definedName>
    <definedName name="MemorialCálculoTítulo" localSheetId="5">#REF!</definedName>
    <definedName name="MemorialCálculoTítulo" localSheetId="6">#REF!</definedName>
    <definedName name="MemorialCálculoTítulo" localSheetId="7">#REF!</definedName>
    <definedName name="MemorialCálculoTítulo" localSheetId="8">#REF!</definedName>
    <definedName name="MemorialCálculoTítulo" localSheetId="9">#REF!</definedName>
    <definedName name="MemorialCálculoTítulo" localSheetId="10">#REF!</definedName>
    <definedName name="MemorialCálculoTítulo" localSheetId="11">#REF!</definedName>
    <definedName name="MemorialCálculoTítulo" localSheetId="12">#REF!</definedName>
    <definedName name="MemorialCálculoTítulo" localSheetId="13">#REF!</definedName>
    <definedName name="MemorialCálculoTítulo" localSheetId="14">#REF!</definedName>
    <definedName name="MemorialCálculoTítulo" localSheetId="15">#REF!</definedName>
    <definedName name="ModeloVálvula" localSheetId="4">#REF!</definedName>
    <definedName name="ModeloVálvula" localSheetId="5">#REF!</definedName>
    <definedName name="ModeloVálvula" localSheetId="6">#REF!</definedName>
    <definedName name="ModeloVálvula" localSheetId="7">#REF!</definedName>
    <definedName name="ModeloVálvula" localSheetId="8">#REF!</definedName>
    <definedName name="ModeloVálvula" localSheetId="9">#REF!</definedName>
    <definedName name="ModeloVálvula" localSheetId="10">#REF!</definedName>
    <definedName name="ModeloVálvula" localSheetId="11">#REF!</definedName>
    <definedName name="ModeloVálvula" localSheetId="12">#REF!</definedName>
    <definedName name="ModeloVálvula" localSheetId="13">#REF!</definedName>
    <definedName name="ModeloVálvula" localSheetId="14">#REF!</definedName>
    <definedName name="ModeloVálvula" localSheetId="15">#REF!</definedName>
    <definedName name="ModeloVálvulaTítulo" localSheetId="4">#REF!</definedName>
    <definedName name="ModeloVálvulaTítulo" localSheetId="5">#REF!</definedName>
    <definedName name="ModeloVálvulaTítulo" localSheetId="6">#REF!</definedName>
    <definedName name="ModeloVálvulaTítulo" localSheetId="7">#REF!</definedName>
    <definedName name="ModeloVálvulaTítulo" localSheetId="8">#REF!</definedName>
    <definedName name="ModeloVálvulaTítulo" localSheetId="9">#REF!</definedName>
    <definedName name="ModeloVálvulaTítulo" localSheetId="10">#REF!</definedName>
    <definedName name="ModeloVálvulaTítulo" localSheetId="11">#REF!</definedName>
    <definedName name="ModeloVálvulaTítulo" localSheetId="12">#REF!</definedName>
    <definedName name="ModeloVálvulaTítulo" localSheetId="13">#REF!</definedName>
    <definedName name="ModeloVálvulaTítulo" localSheetId="14">#REF!</definedName>
    <definedName name="ModeloVálvulaTítulo" localSheetId="15">#REF!</definedName>
    <definedName name="NomeDoc">Capa!$J$1</definedName>
    <definedName name="NormaCálculosTítulo" localSheetId="4">#REF!</definedName>
    <definedName name="NormaCálculosTítulo" localSheetId="5">#REF!</definedName>
    <definedName name="NormaCálculosTítulo" localSheetId="6">#REF!</definedName>
    <definedName name="NormaCálculosTítulo" localSheetId="7">#REF!</definedName>
    <definedName name="NormaCálculosTítulo" localSheetId="8">#REF!</definedName>
    <definedName name="NormaCálculosTítulo" localSheetId="9">#REF!</definedName>
    <definedName name="NormaCálculosTítulo" localSheetId="10">#REF!</definedName>
    <definedName name="NormaCálculosTítulo" localSheetId="11">#REF!</definedName>
    <definedName name="NormaCálculosTítulo" localSheetId="12">#REF!</definedName>
    <definedName name="NormaCálculosTítulo" localSheetId="13">#REF!</definedName>
    <definedName name="NormaCálculosTítulo" localSheetId="14">#REF!</definedName>
    <definedName name="NormaCálculosTítulo" localSheetId="15">#REF!</definedName>
    <definedName name="NormaCálculoVazão" localSheetId="4">#REF!</definedName>
    <definedName name="NormaCálculoVazão" localSheetId="5">#REF!</definedName>
    <definedName name="NormaCálculoVazão" localSheetId="6">#REF!</definedName>
    <definedName name="NormaCálculoVazão" localSheetId="7">#REF!</definedName>
    <definedName name="NormaCálculoVazão" localSheetId="8">#REF!</definedName>
    <definedName name="NormaCálculoVazão" localSheetId="9">#REF!</definedName>
    <definedName name="NormaCálculoVazão" localSheetId="10">#REF!</definedName>
    <definedName name="NormaCálculoVazão" localSheetId="11">#REF!</definedName>
    <definedName name="NormaCálculoVazão" localSheetId="12">#REF!</definedName>
    <definedName name="NormaCálculoVazão" localSheetId="13">#REF!</definedName>
    <definedName name="NormaCálculoVazão" localSheetId="14">#REF!</definedName>
    <definedName name="NormaCálculoVazão" localSheetId="15">#REF!</definedName>
    <definedName name="Observações" localSheetId="4">#REF!</definedName>
    <definedName name="Observações" localSheetId="5">#REF!</definedName>
    <definedName name="Observações" localSheetId="6">#REF!</definedName>
    <definedName name="Observações" localSheetId="7">#REF!</definedName>
    <definedName name="Observações" localSheetId="8">#REF!</definedName>
    <definedName name="Observações" localSheetId="9">#REF!</definedName>
    <definedName name="Observações" localSheetId="10">#REF!</definedName>
    <definedName name="Observações" localSheetId="11">#REF!</definedName>
    <definedName name="Observações" localSheetId="12">#REF!</definedName>
    <definedName name="Observações" localSheetId="13">#REF!</definedName>
    <definedName name="Observações" localSheetId="14">#REF!</definedName>
    <definedName name="Observações" localSheetId="15">#REF!</definedName>
    <definedName name="OrifícioSelecionado" localSheetId="4">#REF!</definedName>
    <definedName name="OrifícioSelecionado" localSheetId="5">#REF!</definedName>
    <definedName name="OrifícioSelecionado" localSheetId="6">#REF!</definedName>
    <definedName name="OrifícioSelecionado" localSheetId="7">#REF!</definedName>
    <definedName name="OrifícioSelecionado" localSheetId="8">#REF!</definedName>
    <definedName name="OrifícioSelecionado" localSheetId="9">#REF!</definedName>
    <definedName name="OrifícioSelecionado" localSheetId="10">#REF!</definedName>
    <definedName name="OrifícioSelecionado" localSheetId="11">#REF!</definedName>
    <definedName name="OrifícioSelecionado" localSheetId="12">#REF!</definedName>
    <definedName name="OrifícioSelecionado" localSheetId="13">#REF!</definedName>
    <definedName name="OrifícioSelecionado" localSheetId="14">#REF!</definedName>
    <definedName name="OrifícioSelecionado" localSheetId="15">#REF!</definedName>
    <definedName name="OrigemGasesVapor" localSheetId="4">#REF!</definedName>
    <definedName name="OrigemGasesVapor" localSheetId="5">#REF!</definedName>
    <definedName name="OrigemGasesVapor" localSheetId="6">#REF!</definedName>
    <definedName name="OrigemGasesVapor" localSheetId="7">#REF!</definedName>
    <definedName name="OrigemGasesVapor" localSheetId="8">#REF!</definedName>
    <definedName name="OrigemGasesVapor" localSheetId="9">#REF!</definedName>
    <definedName name="OrigemGasesVapor" localSheetId="10">#REF!</definedName>
    <definedName name="OrigemGasesVapor" localSheetId="11">#REF!</definedName>
    <definedName name="OrigemGasesVapor" localSheetId="12">#REF!</definedName>
    <definedName name="OrigemGasesVapor" localSheetId="13">#REF!</definedName>
    <definedName name="OrigemGasesVapor" localSheetId="14">#REF!</definedName>
    <definedName name="OrigemGasesVapor" localSheetId="15">#REF!</definedName>
    <definedName name="OrigemLíquidos" localSheetId="4">#REF!</definedName>
    <definedName name="OrigemLíquidos" localSheetId="5">#REF!</definedName>
    <definedName name="OrigemLíquidos" localSheetId="6">#REF!</definedName>
    <definedName name="OrigemLíquidos" localSheetId="7">#REF!</definedName>
    <definedName name="OrigemLíquidos" localSheetId="8">#REF!</definedName>
    <definedName name="OrigemLíquidos" localSheetId="9">#REF!</definedName>
    <definedName name="OrigemLíquidos" localSheetId="10">#REF!</definedName>
    <definedName name="OrigemLíquidos" localSheetId="11">#REF!</definedName>
    <definedName name="OrigemLíquidos" localSheetId="12">#REF!</definedName>
    <definedName name="OrigemLíquidos" localSheetId="13">#REF!</definedName>
    <definedName name="OrigemLíquidos" localSheetId="14">#REF!</definedName>
    <definedName name="OrigemLíquidos" localSheetId="15">#REF!</definedName>
    <definedName name="PadrãoFonteTítulo" localSheetId="4">#REF!</definedName>
    <definedName name="PadrãoFonteTítulo" localSheetId="5">#REF!</definedName>
    <definedName name="PadrãoFonteTítulo" localSheetId="6">#REF!</definedName>
    <definedName name="PadrãoFonteTítulo" localSheetId="7">#REF!</definedName>
    <definedName name="PadrãoFonteTítulo" localSheetId="8">#REF!</definedName>
    <definedName name="PadrãoFonteTítulo" localSheetId="9">#REF!</definedName>
    <definedName name="PadrãoFonteTítulo" localSheetId="10">#REF!</definedName>
    <definedName name="PadrãoFonteTítulo" localSheetId="11">#REF!</definedName>
    <definedName name="PadrãoFonteTítulo" localSheetId="12">#REF!</definedName>
    <definedName name="PadrãoFonteTítulo" localSheetId="13">#REF!</definedName>
    <definedName name="PadrãoFonteTítulo" localSheetId="14">#REF!</definedName>
    <definedName name="PadrãoFonteTítulo" localSheetId="15">#REF!</definedName>
    <definedName name="PaValue" localSheetId="4">#REF!</definedName>
    <definedName name="PaValue" localSheetId="5">#REF!</definedName>
    <definedName name="PaValue" localSheetId="6">#REF!</definedName>
    <definedName name="PaValue" localSheetId="7">#REF!</definedName>
    <definedName name="PaValue" localSheetId="8">#REF!</definedName>
    <definedName name="PaValue" localSheetId="9">#REF!</definedName>
    <definedName name="PaValue" localSheetId="10">#REF!</definedName>
    <definedName name="PaValue" localSheetId="11">#REF!</definedName>
    <definedName name="PaValue" localSheetId="12">#REF!</definedName>
    <definedName name="PaValue" localSheetId="13">#REF!</definedName>
    <definedName name="PaValue" localSheetId="14">#REF!</definedName>
    <definedName name="PaValue" localSheetId="15">#REF!</definedName>
    <definedName name="PesoMolecularTítulo" localSheetId="4">#REF!</definedName>
    <definedName name="PesoMolecularTítulo" localSheetId="5">#REF!</definedName>
    <definedName name="PesoMolecularTítulo" localSheetId="6">#REF!</definedName>
    <definedName name="PesoMolecularTítulo" localSheetId="7">#REF!</definedName>
    <definedName name="PesoMolecularTítulo" localSheetId="8">#REF!</definedName>
    <definedName name="PesoMolecularTítulo" localSheetId="9">#REF!</definedName>
    <definedName name="PesoMolecularTítulo" localSheetId="10">#REF!</definedName>
    <definedName name="PesoMolecularTítulo" localSheetId="11">#REF!</definedName>
    <definedName name="PesoMolecularTítulo" localSheetId="12">#REF!</definedName>
    <definedName name="PesoMolecularTítulo" localSheetId="13">#REF!</definedName>
    <definedName name="PesoMolecularTítulo" localSheetId="14">#REF!</definedName>
    <definedName name="PesoMolecularTítulo" localSheetId="15">#REF!</definedName>
    <definedName name="Por" localSheetId="4">#REF!</definedName>
    <definedName name="Por" localSheetId="5">#REF!</definedName>
    <definedName name="Por" localSheetId="6">#REF!</definedName>
    <definedName name="Por" localSheetId="7">#REF!</definedName>
    <definedName name="Por" localSheetId="8">#REF!</definedName>
    <definedName name="Por" localSheetId="9">#REF!</definedName>
    <definedName name="Por" localSheetId="10">#REF!</definedName>
    <definedName name="Por" localSheetId="11">#REF!</definedName>
    <definedName name="Por" localSheetId="12">#REF!</definedName>
    <definedName name="Por" localSheetId="13">#REF!</definedName>
    <definedName name="Por" localSheetId="14">#REF!</definedName>
    <definedName name="Por" localSheetId="15">#REF!</definedName>
    <definedName name="PoValue" localSheetId="4">#REF!</definedName>
    <definedName name="PoValue" localSheetId="5">#REF!</definedName>
    <definedName name="PoValue" localSheetId="6">#REF!</definedName>
    <definedName name="PoValue" localSheetId="7">#REF!</definedName>
    <definedName name="PoValue" localSheetId="8">#REF!</definedName>
    <definedName name="PoValue" localSheetId="9">#REF!</definedName>
    <definedName name="PoValue" localSheetId="10">#REF!</definedName>
    <definedName name="PoValue" localSheetId="11">#REF!</definedName>
    <definedName name="PoValue" localSheetId="12">#REF!</definedName>
    <definedName name="PoValue" localSheetId="13">#REF!</definedName>
    <definedName name="PoValue" localSheetId="14">#REF!</definedName>
    <definedName name="PoValue" localSheetId="15">#REF!</definedName>
    <definedName name="PressãoAberturaTítulo" localSheetId="4">#REF!</definedName>
    <definedName name="PressãoAberturaTítulo" localSheetId="5">#REF!</definedName>
    <definedName name="PressãoAberturaTítulo" localSheetId="6">#REF!</definedName>
    <definedName name="PressãoAberturaTítulo" localSheetId="7">#REF!</definedName>
    <definedName name="PressãoAberturaTítulo" localSheetId="8">#REF!</definedName>
    <definedName name="PressãoAberturaTítulo" localSheetId="9">#REF!</definedName>
    <definedName name="PressãoAberturaTítulo" localSheetId="10">#REF!</definedName>
    <definedName name="PressãoAberturaTítulo" localSheetId="11">#REF!</definedName>
    <definedName name="PressãoAberturaTítulo" localSheetId="12">#REF!</definedName>
    <definedName name="PressãoAberturaTítulo" localSheetId="13">#REF!</definedName>
    <definedName name="PressãoAberturaTítulo" localSheetId="14">#REF!</definedName>
    <definedName name="PressãoAberturaTítulo" localSheetId="15">#REF!</definedName>
    <definedName name="PressãoOperaçãoTítulo" localSheetId="4">#REF!</definedName>
    <definedName name="PressãoOperaçãoTítulo" localSheetId="5">#REF!</definedName>
    <definedName name="PressãoOperaçãoTítulo" localSheetId="6">#REF!</definedName>
    <definedName name="PressãoOperaçãoTítulo" localSheetId="7">#REF!</definedName>
    <definedName name="PressãoOperaçãoTítulo" localSheetId="8">#REF!</definedName>
    <definedName name="PressãoOperaçãoTítulo" localSheetId="9">#REF!</definedName>
    <definedName name="PressãoOperaçãoTítulo" localSheetId="10">#REF!</definedName>
    <definedName name="PressãoOperaçãoTítulo" localSheetId="11">#REF!</definedName>
    <definedName name="PressãoOperaçãoTítulo" localSheetId="12">#REF!</definedName>
    <definedName name="PressãoOperaçãoTítulo" localSheetId="13">#REF!</definedName>
    <definedName name="PressãoOperaçãoTítulo" localSheetId="14">#REF!</definedName>
    <definedName name="PressãoOperaçãoTítulo" localSheetId="15">#REF!</definedName>
    <definedName name="Projeto" localSheetId="4">#REF!</definedName>
    <definedName name="Projeto" localSheetId="5">#REF!</definedName>
    <definedName name="Projeto" localSheetId="6">#REF!</definedName>
    <definedName name="Projeto" localSheetId="7">#REF!</definedName>
    <definedName name="Projeto" localSheetId="8">#REF!</definedName>
    <definedName name="Projeto" localSheetId="9">#REF!</definedName>
    <definedName name="Projeto" localSheetId="10">#REF!</definedName>
    <definedName name="Projeto" localSheetId="11">#REF!</definedName>
    <definedName name="Projeto" localSheetId="12">#REF!</definedName>
    <definedName name="Projeto" localSheetId="13">#REF!</definedName>
    <definedName name="Projeto" localSheetId="14">#REF!</definedName>
    <definedName name="Projeto" localSheetId="15">#REF!</definedName>
    <definedName name="Quantidade" localSheetId="4">#REF!</definedName>
    <definedName name="Quantidade" localSheetId="5">#REF!</definedName>
    <definedName name="Quantidade" localSheetId="6">#REF!</definedName>
    <definedName name="Quantidade" localSheetId="7">#REF!</definedName>
    <definedName name="Quantidade" localSheetId="8">#REF!</definedName>
    <definedName name="Quantidade" localSheetId="9">#REF!</definedName>
    <definedName name="Quantidade" localSheetId="10">#REF!</definedName>
    <definedName name="Quantidade" localSheetId="11">#REF!</definedName>
    <definedName name="Quantidade" localSheetId="12">#REF!</definedName>
    <definedName name="Quantidade" localSheetId="13">#REF!</definedName>
    <definedName name="Quantidade" localSheetId="14">#REF!</definedName>
    <definedName name="Quantidade" localSheetId="15">#REF!</definedName>
    <definedName name="RazãoKTítulo" localSheetId="4">#REF!</definedName>
    <definedName name="RazãoKTítulo" localSheetId="5">#REF!</definedName>
    <definedName name="RazãoKTítulo" localSheetId="6">#REF!</definedName>
    <definedName name="RazãoKTítulo" localSheetId="7">#REF!</definedName>
    <definedName name="RazãoKTítulo" localSheetId="8">#REF!</definedName>
    <definedName name="RazãoKTítulo" localSheetId="9">#REF!</definedName>
    <definedName name="RazãoKTítulo" localSheetId="10">#REF!</definedName>
    <definedName name="RazãoKTítulo" localSheetId="11">#REF!</definedName>
    <definedName name="RazãoKTítulo" localSheetId="12">#REF!</definedName>
    <definedName name="RazãoKTítulo" localSheetId="13">#REF!</definedName>
    <definedName name="RazãoKTítulo" localSheetId="14">#REF!</definedName>
    <definedName name="RazãoKTítulo" localSheetId="15">#REF!</definedName>
    <definedName name="Referência" localSheetId="4">#REF!</definedName>
    <definedName name="Referência" localSheetId="5">#REF!</definedName>
    <definedName name="Referência" localSheetId="6">#REF!</definedName>
    <definedName name="Referência" localSheetId="7">#REF!</definedName>
    <definedName name="Referência" localSheetId="8">#REF!</definedName>
    <definedName name="Referência" localSheetId="9">#REF!</definedName>
    <definedName name="Referência" localSheetId="10">#REF!</definedName>
    <definedName name="Referência" localSheetId="11">#REF!</definedName>
    <definedName name="Referência" localSheetId="12">#REF!</definedName>
    <definedName name="Referência" localSheetId="13">#REF!</definedName>
    <definedName name="Referência" localSheetId="14">#REF!</definedName>
    <definedName name="Referência" localSheetId="15">#REF!</definedName>
    <definedName name="ReferênciaTítulo" localSheetId="4">#REF!</definedName>
    <definedName name="ReferênciaTítulo" localSheetId="5">#REF!</definedName>
    <definedName name="ReferênciaTítulo" localSheetId="6">#REF!</definedName>
    <definedName name="ReferênciaTítulo" localSheetId="7">#REF!</definedName>
    <definedName name="ReferênciaTítulo" localSheetId="8">#REF!</definedName>
    <definedName name="ReferênciaTítulo" localSheetId="9">#REF!</definedName>
    <definedName name="ReferênciaTítulo" localSheetId="10">#REF!</definedName>
    <definedName name="ReferênciaTítulo" localSheetId="11">#REF!</definedName>
    <definedName name="ReferênciaTítulo" localSheetId="12">#REF!</definedName>
    <definedName name="ReferênciaTítulo" localSheetId="13">#REF!</definedName>
    <definedName name="ReferênciaTítulo" localSheetId="14">#REF!</definedName>
    <definedName name="ReferênciaTítulo" localSheetId="15">#REF!</definedName>
    <definedName name="RevisãoData" localSheetId="4">#REF!</definedName>
    <definedName name="RevisãoData" localSheetId="5">#REF!</definedName>
    <definedName name="RevisãoData" localSheetId="6">#REF!</definedName>
    <definedName name="RevisãoData" localSheetId="7">#REF!</definedName>
    <definedName name="RevisãoData" localSheetId="8">#REF!</definedName>
    <definedName name="RevisãoData" localSheetId="9">#REF!</definedName>
    <definedName name="RevisãoData" localSheetId="10">#REF!</definedName>
    <definedName name="RevisãoData" localSheetId="11">#REF!</definedName>
    <definedName name="RevisãoData" localSheetId="12">#REF!</definedName>
    <definedName name="RevisãoData" localSheetId="13">#REF!</definedName>
    <definedName name="RevisãoData" localSheetId="14">#REF!</definedName>
    <definedName name="RevisãoData" localSheetId="15">#REF!</definedName>
    <definedName name="SeleçãoOrifícioVálvulaTítulo" localSheetId="4">#REF!</definedName>
    <definedName name="SeleçãoOrifícioVálvulaTítulo" localSheetId="5">#REF!</definedName>
    <definedName name="SeleçãoOrifícioVálvulaTítulo" localSheetId="6">#REF!</definedName>
    <definedName name="SeleçãoOrifícioVálvulaTítulo" localSheetId="7">#REF!</definedName>
    <definedName name="SeleçãoOrifícioVálvulaTítulo" localSheetId="8">#REF!</definedName>
    <definedName name="SeleçãoOrifícioVálvulaTítulo" localSheetId="9">#REF!</definedName>
    <definedName name="SeleçãoOrifícioVálvulaTítulo" localSheetId="10">#REF!</definedName>
    <definedName name="SeleçãoOrifícioVálvulaTítulo" localSheetId="11">#REF!</definedName>
    <definedName name="SeleçãoOrifícioVálvulaTítulo" localSheetId="12">#REF!</definedName>
    <definedName name="SeleçãoOrifícioVálvulaTítulo" localSheetId="13">#REF!</definedName>
    <definedName name="SeleçãoOrifícioVálvulaTítulo" localSheetId="14">#REF!</definedName>
    <definedName name="SeleçãoOrifícioVálvulaTítulo" localSheetId="15">#REF!</definedName>
    <definedName name="Serviço" localSheetId="4">#REF!</definedName>
    <definedName name="Serviço" localSheetId="5">#REF!</definedName>
    <definedName name="Serviço" localSheetId="6">#REF!</definedName>
    <definedName name="Serviço" localSheetId="7">#REF!</definedName>
    <definedName name="Serviço" localSheetId="8">#REF!</definedName>
    <definedName name="Serviço" localSheetId="9">#REF!</definedName>
    <definedName name="Serviço" localSheetId="10">#REF!</definedName>
    <definedName name="Serviço" localSheetId="11">#REF!</definedName>
    <definedName name="Serviço" localSheetId="12">#REF!</definedName>
    <definedName name="Serviço" localSheetId="13">#REF!</definedName>
    <definedName name="Serviço" localSheetId="14">#REF!</definedName>
    <definedName name="Serviço" localSheetId="15">#REF!</definedName>
    <definedName name="SistemaMedidas" localSheetId="4">#REF!</definedName>
    <definedName name="SistemaMedidas" localSheetId="5">#REF!</definedName>
    <definedName name="SistemaMedidas" localSheetId="6">#REF!</definedName>
    <definedName name="SistemaMedidas" localSheetId="7">#REF!</definedName>
    <definedName name="SistemaMedidas" localSheetId="8">#REF!</definedName>
    <definedName name="SistemaMedidas" localSheetId="9">#REF!</definedName>
    <definedName name="SistemaMedidas" localSheetId="10">#REF!</definedName>
    <definedName name="SistemaMedidas" localSheetId="11">#REF!</definedName>
    <definedName name="SistemaMedidas" localSheetId="12">#REF!</definedName>
    <definedName name="SistemaMedidas" localSheetId="13">#REF!</definedName>
    <definedName name="SistemaMedidas" localSheetId="14">#REF!</definedName>
    <definedName name="SistemaMedidas" localSheetId="15">#REF!</definedName>
    <definedName name="SistemaMedidasTítulo" localSheetId="4">#REF!</definedName>
    <definedName name="SistemaMedidasTítulo" localSheetId="5">#REF!</definedName>
    <definedName name="SistemaMedidasTítulo" localSheetId="6">#REF!</definedName>
    <definedName name="SistemaMedidasTítulo" localSheetId="7">#REF!</definedName>
    <definedName name="SistemaMedidasTítulo" localSheetId="8">#REF!</definedName>
    <definedName name="SistemaMedidasTítulo" localSheetId="9">#REF!</definedName>
    <definedName name="SistemaMedidasTítulo" localSheetId="10">#REF!</definedName>
    <definedName name="SistemaMedidasTítulo" localSheetId="11">#REF!</definedName>
    <definedName name="SistemaMedidasTítulo" localSheetId="12">#REF!</definedName>
    <definedName name="SistemaMedidasTítulo" localSheetId="13">#REF!</definedName>
    <definedName name="SistemaMedidasTítulo" localSheetId="14">#REF!</definedName>
    <definedName name="SistemaMedidasTítulo" localSheetId="15">#REF!</definedName>
    <definedName name="SobrepressãoSímbolo" localSheetId="4">#REF!</definedName>
    <definedName name="SobrepressãoSímbolo" localSheetId="5">#REF!</definedName>
    <definedName name="SobrepressãoSímbolo" localSheetId="6">#REF!</definedName>
    <definedName name="SobrepressãoSímbolo" localSheetId="7">#REF!</definedName>
    <definedName name="SobrepressãoSímbolo" localSheetId="8">#REF!</definedName>
    <definedName name="SobrepressãoSímbolo" localSheetId="9">#REF!</definedName>
    <definedName name="SobrepressãoSímbolo" localSheetId="10">#REF!</definedName>
    <definedName name="SobrepressãoSímbolo" localSheetId="11">#REF!</definedName>
    <definedName name="SobrepressãoSímbolo" localSheetId="12">#REF!</definedName>
    <definedName name="SobrepressãoSímbolo" localSheetId="13">#REF!</definedName>
    <definedName name="SobrepressãoSímbolo" localSheetId="14">#REF!</definedName>
    <definedName name="SobrepressãoSímbolo" localSheetId="15">#REF!</definedName>
    <definedName name="SobrepressãoTítulo" localSheetId="4">#REF!</definedName>
    <definedName name="SobrepressãoTítulo" localSheetId="5">#REF!</definedName>
    <definedName name="SobrepressãoTítulo" localSheetId="6">#REF!</definedName>
    <definedName name="SobrepressãoTítulo" localSheetId="7">#REF!</definedName>
    <definedName name="SobrepressãoTítulo" localSheetId="8">#REF!</definedName>
    <definedName name="SobrepressãoTítulo" localSheetId="9">#REF!</definedName>
    <definedName name="SobrepressãoTítulo" localSheetId="10">#REF!</definedName>
    <definedName name="SobrepressãoTítulo" localSheetId="11">#REF!</definedName>
    <definedName name="SobrepressãoTítulo" localSheetId="12">#REF!</definedName>
    <definedName name="SobrepressãoTítulo" localSheetId="13">#REF!</definedName>
    <definedName name="SobrepressãoTítulo" localSheetId="14">#REF!</definedName>
    <definedName name="SobrepressãoTítulo" localSheetId="15">#REF!</definedName>
    <definedName name="SPValue" localSheetId="4">#REF!</definedName>
    <definedName name="SPValue" localSheetId="5">#REF!</definedName>
    <definedName name="SPValue" localSheetId="6">#REF!</definedName>
    <definedName name="SPValue" localSheetId="7">#REF!</definedName>
    <definedName name="SPValue" localSheetId="8">#REF!</definedName>
    <definedName name="SPValue" localSheetId="9">#REF!</definedName>
    <definedName name="SPValue" localSheetId="10">#REF!</definedName>
    <definedName name="SPValue" localSheetId="11">#REF!</definedName>
    <definedName name="SPValue" localSheetId="12">#REF!</definedName>
    <definedName name="SPValue" localSheetId="13">#REF!</definedName>
    <definedName name="SPValue" localSheetId="14">#REF!</definedName>
    <definedName name="SPValue" localSheetId="15">#REF!</definedName>
    <definedName name="TaValue" localSheetId="4">#REF!</definedName>
    <definedName name="TaValue" localSheetId="5">#REF!</definedName>
    <definedName name="TaValue" localSheetId="6">#REF!</definedName>
    <definedName name="TaValue" localSheetId="7">#REF!</definedName>
    <definedName name="TaValue" localSheetId="8">#REF!</definedName>
    <definedName name="TaValue" localSheetId="9">#REF!</definedName>
    <definedName name="TaValue" localSheetId="10">#REF!</definedName>
    <definedName name="TaValue" localSheetId="11">#REF!</definedName>
    <definedName name="TaValue" localSheetId="12">#REF!</definedName>
    <definedName name="TaValue" localSheetId="13">#REF!</definedName>
    <definedName name="TaValue" localSheetId="14">#REF!</definedName>
    <definedName name="TaValue" localSheetId="15">#REF!</definedName>
    <definedName name="tea" localSheetId="4">'FD53'!#REF!</definedName>
    <definedName name="tea" localSheetId="5">'FD54'!#REF!</definedName>
    <definedName name="tea" localSheetId="6">'FD56'!#REF!</definedName>
    <definedName name="tea" localSheetId="7">'FD59'!#REF!</definedName>
    <definedName name="tea" localSheetId="8">'FD61'!#REF!</definedName>
    <definedName name="tea" localSheetId="9">'FD62'!#REF!</definedName>
    <definedName name="tea" localSheetId="10">'FD63'!#REF!</definedName>
    <definedName name="tea" localSheetId="11">'FD67'!#REF!</definedName>
    <definedName name="tea" localSheetId="12">'FD68'!#REF!</definedName>
    <definedName name="tea" localSheetId="13">'FD69'!#REF!</definedName>
    <definedName name="tea" localSheetId="14">'FD70'!#REF!</definedName>
    <definedName name="tea" localSheetId="15">'FD72'!#REF!</definedName>
    <definedName name="Telefone" localSheetId="4">#REF!</definedName>
    <definedName name="Telefone" localSheetId="5">#REF!</definedName>
    <definedName name="Telefone" localSheetId="6">#REF!</definedName>
    <definedName name="Telefone" localSheetId="7">#REF!</definedName>
    <definedName name="Telefone" localSheetId="8">#REF!</definedName>
    <definedName name="Telefone" localSheetId="9">#REF!</definedName>
    <definedName name="Telefone" localSheetId="10">#REF!</definedName>
    <definedName name="Telefone" localSheetId="11">#REF!</definedName>
    <definedName name="Telefone" localSheetId="12">#REF!</definedName>
    <definedName name="Telefone" localSheetId="13">#REF!</definedName>
    <definedName name="Telefone" localSheetId="14">#REF!</definedName>
    <definedName name="Telefone" localSheetId="15">#REF!</definedName>
    <definedName name="TemperaturaAberturaTítulo" localSheetId="4">#REF!</definedName>
    <definedName name="TemperaturaAberturaTítulo" localSheetId="5">#REF!</definedName>
    <definedName name="TemperaturaAberturaTítulo" localSheetId="6">#REF!</definedName>
    <definedName name="TemperaturaAberturaTítulo" localSheetId="7">#REF!</definedName>
    <definedName name="TemperaturaAberturaTítulo" localSheetId="8">#REF!</definedName>
    <definedName name="TemperaturaAberturaTítulo" localSheetId="9">#REF!</definedName>
    <definedName name="TemperaturaAberturaTítulo" localSheetId="10">#REF!</definedName>
    <definedName name="TemperaturaAberturaTítulo" localSheetId="11">#REF!</definedName>
    <definedName name="TemperaturaAberturaTítulo" localSheetId="12">#REF!</definedName>
    <definedName name="TemperaturaAberturaTítulo" localSheetId="13">#REF!</definedName>
    <definedName name="TemperaturaAberturaTítulo" localSheetId="14">#REF!</definedName>
    <definedName name="TemperaturaAberturaTítulo" localSheetId="15">#REF!</definedName>
    <definedName name="TemperaturaOperaçãoTítulo" localSheetId="4">#REF!</definedName>
    <definedName name="TemperaturaOperaçãoTítulo" localSheetId="5">#REF!</definedName>
    <definedName name="TemperaturaOperaçãoTítulo" localSheetId="6">#REF!</definedName>
    <definedName name="TemperaturaOperaçãoTítulo" localSheetId="7">#REF!</definedName>
    <definedName name="TemperaturaOperaçãoTítulo" localSheetId="8">#REF!</definedName>
    <definedName name="TemperaturaOperaçãoTítulo" localSheetId="9">#REF!</definedName>
    <definedName name="TemperaturaOperaçãoTítulo" localSheetId="10">#REF!</definedName>
    <definedName name="TemperaturaOperaçãoTítulo" localSheetId="11">#REF!</definedName>
    <definedName name="TemperaturaOperaçãoTítulo" localSheetId="12">#REF!</definedName>
    <definedName name="TemperaturaOperaçãoTítulo" localSheetId="13">#REF!</definedName>
    <definedName name="TemperaturaOperaçãoTítulo" localSheetId="14">#REF!</definedName>
    <definedName name="TemperaturaOperaçãoTítulo" localSheetId="15">#REF!</definedName>
    <definedName name="TipodeBocal" localSheetId="4">#REF!</definedName>
    <definedName name="TipodeBocal" localSheetId="5">#REF!</definedName>
    <definedName name="TipodeBocal" localSheetId="6">#REF!</definedName>
    <definedName name="TipodeBocal" localSheetId="7">#REF!</definedName>
    <definedName name="TipodeBocal" localSheetId="8">#REF!</definedName>
    <definedName name="TipodeBocal" localSheetId="9">#REF!</definedName>
    <definedName name="TipodeBocal" localSheetId="10">#REF!</definedName>
    <definedName name="TipodeBocal" localSheetId="11">#REF!</definedName>
    <definedName name="TipodeBocal" localSheetId="12">#REF!</definedName>
    <definedName name="TipodeBocal" localSheetId="13">#REF!</definedName>
    <definedName name="TipodeBocal" localSheetId="14">#REF!</definedName>
    <definedName name="TipodeBocal" localSheetId="15">#REF!</definedName>
    <definedName name="TipodeCastelo" localSheetId="4">#REF!</definedName>
    <definedName name="TipodeCastelo" localSheetId="5">#REF!</definedName>
    <definedName name="TipodeCastelo" localSheetId="6">#REF!</definedName>
    <definedName name="TipodeCastelo" localSheetId="7">#REF!</definedName>
    <definedName name="TipodeCastelo" localSheetId="8">#REF!</definedName>
    <definedName name="TipodeCastelo" localSheetId="9">#REF!</definedName>
    <definedName name="TipodeCastelo" localSheetId="10">#REF!</definedName>
    <definedName name="TipodeCastelo" localSheetId="11">#REF!</definedName>
    <definedName name="TipodeCastelo" localSheetId="12">#REF!</definedName>
    <definedName name="TipodeCastelo" localSheetId="13">#REF!</definedName>
    <definedName name="TipodeCastelo" localSheetId="14">#REF!</definedName>
    <definedName name="TipodeCastelo" localSheetId="15">#REF!</definedName>
    <definedName name="TipodeVálvula" localSheetId="4">#REF!</definedName>
    <definedName name="TipodeVálvula" localSheetId="5">#REF!</definedName>
    <definedName name="TipodeVálvula" localSheetId="6">#REF!</definedName>
    <definedName name="TipodeVálvula" localSheetId="7">#REF!</definedName>
    <definedName name="TipodeVálvula" localSheetId="8">#REF!</definedName>
    <definedName name="TipodeVálvula" localSheetId="9">#REF!</definedName>
    <definedName name="TipodeVálvula" localSheetId="10">#REF!</definedName>
    <definedName name="TipodeVálvula" localSheetId="11">#REF!</definedName>
    <definedName name="TipodeVálvula" localSheetId="12">#REF!</definedName>
    <definedName name="TipodeVálvula" localSheetId="13">#REF!</definedName>
    <definedName name="TipodeVálvula" localSheetId="14">#REF!</definedName>
    <definedName name="TipodeVálvula" localSheetId="15">#REF!</definedName>
    <definedName name="TítuloCliente" localSheetId="4">#REF!</definedName>
    <definedName name="TítuloCliente" localSheetId="5">#REF!</definedName>
    <definedName name="TítuloCliente" localSheetId="6">#REF!</definedName>
    <definedName name="TítuloCliente" localSheetId="7">#REF!</definedName>
    <definedName name="TítuloCliente" localSheetId="8">#REF!</definedName>
    <definedName name="TítuloCliente" localSheetId="9">#REF!</definedName>
    <definedName name="TítuloCliente" localSheetId="10">#REF!</definedName>
    <definedName name="TítuloCliente" localSheetId="11">#REF!</definedName>
    <definedName name="TítuloCliente" localSheetId="12">#REF!</definedName>
    <definedName name="TítuloCliente" localSheetId="13">#REF!</definedName>
    <definedName name="TítuloCliente" localSheetId="14">#REF!</definedName>
    <definedName name="TítuloCliente" localSheetId="15">#REF!</definedName>
    <definedName name="TítuloGerente" localSheetId="4">#REF!</definedName>
    <definedName name="TítuloGerente" localSheetId="5">#REF!</definedName>
    <definedName name="TítuloGerente" localSheetId="6">#REF!</definedName>
    <definedName name="TítuloGerente" localSheetId="7">#REF!</definedName>
    <definedName name="TítuloGerente" localSheetId="8">#REF!</definedName>
    <definedName name="TítuloGerente" localSheetId="9">#REF!</definedName>
    <definedName name="TítuloGerente" localSheetId="10">#REF!</definedName>
    <definedName name="TítuloGerente" localSheetId="11">#REF!</definedName>
    <definedName name="TítuloGerente" localSheetId="12">#REF!</definedName>
    <definedName name="TítuloGerente" localSheetId="13">#REF!</definedName>
    <definedName name="TítuloGerente" localSheetId="14">#REF!</definedName>
    <definedName name="TítuloGerente" localSheetId="15">#REF!</definedName>
    <definedName name="_xlnm.Print_Titles" localSheetId="2">Folhas!$1:$5</definedName>
    <definedName name="ToValue" localSheetId="4">#REF!</definedName>
    <definedName name="ToValue" localSheetId="5">#REF!</definedName>
    <definedName name="ToValue" localSheetId="6">#REF!</definedName>
    <definedName name="ToValue" localSheetId="7">#REF!</definedName>
    <definedName name="ToValue" localSheetId="8">#REF!</definedName>
    <definedName name="ToValue" localSheetId="9">#REF!</definedName>
    <definedName name="ToValue" localSheetId="10">#REF!</definedName>
    <definedName name="ToValue" localSheetId="11">#REF!</definedName>
    <definedName name="ToValue" localSheetId="12">#REF!</definedName>
    <definedName name="ToValue" localSheetId="13">#REF!</definedName>
    <definedName name="ToValue" localSheetId="14">#REF!</definedName>
    <definedName name="ToValue" localSheetId="15">#REF!</definedName>
    <definedName name="ValorCapacidadeGásVapor" localSheetId="4">#REF!</definedName>
    <definedName name="ValorCapacidadeGásVapor" localSheetId="5">#REF!</definedName>
    <definedName name="ValorCapacidadeGásVapor" localSheetId="6">#REF!</definedName>
    <definedName name="ValorCapacidadeGásVapor" localSheetId="7">#REF!</definedName>
    <definedName name="ValorCapacidadeGásVapor" localSheetId="8">#REF!</definedName>
    <definedName name="ValorCapacidadeGásVapor" localSheetId="9">#REF!</definedName>
    <definedName name="ValorCapacidadeGásVapor" localSheetId="10">#REF!</definedName>
    <definedName name="ValorCapacidadeGásVapor" localSheetId="11">#REF!</definedName>
    <definedName name="ValorCapacidadeGásVapor" localSheetId="12">#REF!</definedName>
    <definedName name="ValorCapacidadeGásVapor" localSheetId="13">#REF!</definedName>
    <definedName name="ValorCapacidadeGásVapor" localSheetId="14">#REF!</definedName>
    <definedName name="ValorCapacidadeGásVapor" localSheetId="15">#REF!</definedName>
    <definedName name="ValorCapacidadeLíquido" localSheetId="4">#REF!</definedName>
    <definedName name="ValorCapacidadeLíquido" localSheetId="5">#REF!</definedName>
    <definedName name="ValorCapacidadeLíquido" localSheetId="6">#REF!</definedName>
    <definedName name="ValorCapacidadeLíquido" localSheetId="7">#REF!</definedName>
    <definedName name="ValorCapacidadeLíquido" localSheetId="8">#REF!</definedName>
    <definedName name="ValorCapacidadeLíquido" localSheetId="9">#REF!</definedName>
    <definedName name="ValorCapacidadeLíquido" localSheetId="10">#REF!</definedName>
    <definedName name="ValorCapacidadeLíquido" localSheetId="11">#REF!</definedName>
    <definedName name="ValorCapacidadeLíquido" localSheetId="12">#REF!</definedName>
    <definedName name="ValorCapacidadeLíquido" localSheetId="13">#REF!</definedName>
    <definedName name="ValorCapacidadeLíquido" localSheetId="14">#REF!</definedName>
    <definedName name="ValorCapacidadeLíquido" localSheetId="15">#REF!</definedName>
    <definedName name="ValorCapacidadeRequerida" localSheetId="4">#REF!</definedName>
    <definedName name="ValorCapacidadeRequerida" localSheetId="5">#REF!</definedName>
    <definedName name="ValorCapacidadeRequerida" localSheetId="6">#REF!</definedName>
    <definedName name="ValorCapacidadeRequerida" localSheetId="7">#REF!</definedName>
    <definedName name="ValorCapacidadeRequerida" localSheetId="8">#REF!</definedName>
    <definedName name="ValorCapacidadeRequerida" localSheetId="9">#REF!</definedName>
    <definedName name="ValorCapacidadeRequerida" localSheetId="10">#REF!</definedName>
    <definedName name="ValorCapacidadeRequerida" localSheetId="11">#REF!</definedName>
    <definedName name="ValorCapacidadeRequerida" localSheetId="12">#REF!</definedName>
    <definedName name="ValorCapacidadeRequerida" localSheetId="13">#REF!</definedName>
    <definedName name="ValorCapacidadeRequerida" localSheetId="14">#REF!</definedName>
    <definedName name="ValorCapacidadeRequerida" localSheetId="15">#REF!</definedName>
    <definedName name="ValorConstanteC" localSheetId="4">#REF!</definedName>
    <definedName name="ValorConstanteC" localSheetId="5">#REF!</definedName>
    <definedName name="ValorConstanteC" localSheetId="6">#REF!</definedName>
    <definedName name="ValorConstanteC" localSheetId="7">#REF!</definedName>
    <definedName name="ValorConstanteC" localSheetId="8">#REF!</definedName>
    <definedName name="ValorConstanteC" localSheetId="9">#REF!</definedName>
    <definedName name="ValorConstanteC" localSheetId="10">#REF!</definedName>
    <definedName name="ValorConstanteC" localSheetId="11">#REF!</definedName>
    <definedName name="ValorConstanteC" localSheetId="12">#REF!</definedName>
    <definedName name="ValorConstanteC" localSheetId="13">#REF!</definedName>
    <definedName name="ValorConstanteC" localSheetId="14">#REF!</definedName>
    <definedName name="ValorConstanteC" localSheetId="15">#REF!</definedName>
    <definedName name="ValorContrapressão" localSheetId="4">#REF!</definedName>
    <definedName name="ValorContrapressão" localSheetId="5">#REF!</definedName>
    <definedName name="ValorContrapressão" localSheetId="6">#REF!</definedName>
    <definedName name="ValorContrapressão" localSheetId="7">#REF!</definedName>
    <definedName name="ValorContrapressão" localSheetId="8">#REF!</definedName>
    <definedName name="ValorContrapressão" localSheetId="9">#REF!</definedName>
    <definedName name="ValorContrapressão" localSheetId="10">#REF!</definedName>
    <definedName name="ValorContrapressão" localSheetId="11">#REF!</definedName>
    <definedName name="ValorContrapressão" localSheetId="12">#REF!</definedName>
    <definedName name="ValorContrapressão" localSheetId="13">#REF!</definedName>
    <definedName name="ValorContrapressão" localSheetId="14">#REF!</definedName>
    <definedName name="ValorContrapressão" localSheetId="15">#REF!</definedName>
    <definedName name="ValorContrapressãoDesenvolvida" localSheetId="4">#REF!</definedName>
    <definedName name="ValorContrapressãoDesenvolvida" localSheetId="5">#REF!</definedName>
    <definedName name="ValorContrapressãoDesenvolvida" localSheetId="6">#REF!</definedName>
    <definedName name="ValorContrapressãoDesenvolvida" localSheetId="7">#REF!</definedName>
    <definedName name="ValorContrapressãoDesenvolvida" localSheetId="8">#REF!</definedName>
    <definedName name="ValorContrapressãoDesenvolvida" localSheetId="9">#REF!</definedName>
    <definedName name="ValorContrapressãoDesenvolvida" localSheetId="10">#REF!</definedName>
    <definedName name="ValorContrapressãoDesenvolvida" localSheetId="11">#REF!</definedName>
    <definedName name="ValorContrapressãoDesenvolvida" localSheetId="12">#REF!</definedName>
    <definedName name="ValorContrapressãoDesenvolvida" localSheetId="13">#REF!</definedName>
    <definedName name="ValorContrapressãoDesenvolvida" localSheetId="14">#REF!</definedName>
    <definedName name="ValorContrapressãoDesenvolvida" localSheetId="15">#REF!</definedName>
    <definedName name="ValorContrapressãoSuperimposta" localSheetId="4">#REF!</definedName>
    <definedName name="ValorContrapressãoSuperimposta" localSheetId="5">#REF!</definedName>
    <definedName name="ValorContrapressãoSuperimposta" localSheetId="6">#REF!</definedName>
    <definedName name="ValorContrapressãoSuperimposta" localSheetId="7">#REF!</definedName>
    <definedName name="ValorContrapressãoSuperimposta" localSheetId="8">#REF!</definedName>
    <definedName name="ValorContrapressãoSuperimposta" localSheetId="9">#REF!</definedName>
    <definedName name="ValorContrapressãoSuperimposta" localSheetId="10">#REF!</definedName>
    <definedName name="ValorContrapressãoSuperimposta" localSheetId="11">#REF!</definedName>
    <definedName name="ValorContrapressãoSuperimposta" localSheetId="12">#REF!</definedName>
    <definedName name="ValorContrapressãoSuperimposta" localSheetId="13">#REF!</definedName>
    <definedName name="ValorContrapressãoSuperimposta" localSheetId="14">#REF!</definedName>
    <definedName name="ValorContrapressãoSuperimposta" localSheetId="15">#REF!</definedName>
    <definedName name="ValorContrapressãoVariável" localSheetId="4">#REF!</definedName>
    <definedName name="ValorContrapressãoVariável" localSheetId="5">#REF!</definedName>
    <definedName name="ValorContrapressãoVariável" localSheetId="6">#REF!</definedName>
    <definedName name="ValorContrapressãoVariável" localSheetId="7">#REF!</definedName>
    <definedName name="ValorContrapressãoVariável" localSheetId="8">#REF!</definedName>
    <definedName name="ValorContrapressãoVariável" localSheetId="9">#REF!</definedName>
    <definedName name="ValorContrapressãoVariável" localSheetId="10">#REF!</definedName>
    <definedName name="ValorContrapressãoVariável" localSheetId="11">#REF!</definedName>
    <definedName name="ValorContrapressãoVariável" localSheetId="12">#REF!</definedName>
    <definedName name="ValorContrapressãoVariável" localSheetId="13">#REF!</definedName>
    <definedName name="ValorContrapressãoVariável" localSheetId="14">#REF!</definedName>
    <definedName name="ValorContrapressãoVariável" localSheetId="15">#REF!</definedName>
    <definedName name="ValorContrapressãoVariávelMáx" localSheetId="4">#REF!</definedName>
    <definedName name="ValorContrapressãoVariávelMáx" localSheetId="5">#REF!</definedName>
    <definedName name="ValorContrapressãoVariávelMáx" localSheetId="6">#REF!</definedName>
    <definedName name="ValorContrapressãoVariávelMáx" localSheetId="7">#REF!</definedName>
    <definedName name="ValorContrapressãoVariávelMáx" localSheetId="8">#REF!</definedName>
    <definedName name="ValorContrapressãoVariávelMáx" localSheetId="9">#REF!</definedName>
    <definedName name="ValorContrapressãoVariávelMáx" localSheetId="10">#REF!</definedName>
    <definedName name="ValorContrapressãoVariávelMáx" localSheetId="11">#REF!</definedName>
    <definedName name="ValorContrapressãoVariávelMáx" localSheetId="12">#REF!</definedName>
    <definedName name="ValorContrapressãoVariávelMáx" localSheetId="13">#REF!</definedName>
    <definedName name="ValorContrapressãoVariávelMáx" localSheetId="14">#REF!</definedName>
    <definedName name="ValorContrapressãoVariávelMáx" localSheetId="15">#REF!</definedName>
    <definedName name="ValorContrapressãoVariávelMín" localSheetId="4">#REF!</definedName>
    <definedName name="ValorContrapressãoVariávelMín" localSheetId="5">#REF!</definedName>
    <definedName name="ValorContrapressãoVariávelMín" localSheetId="6">#REF!</definedName>
    <definedName name="ValorContrapressãoVariávelMín" localSheetId="7">#REF!</definedName>
    <definedName name="ValorContrapressãoVariávelMín" localSheetId="8">#REF!</definedName>
    <definedName name="ValorContrapressãoVariávelMín" localSheetId="9">#REF!</definedName>
    <definedName name="ValorContrapressãoVariávelMín" localSheetId="10">#REF!</definedName>
    <definedName name="ValorContrapressãoVariávelMín" localSheetId="11">#REF!</definedName>
    <definedName name="ValorContrapressãoVariávelMín" localSheetId="12">#REF!</definedName>
    <definedName name="ValorContrapressãoVariávelMín" localSheetId="13">#REF!</definedName>
    <definedName name="ValorContrapressãoVariávelMín" localSheetId="14">#REF!</definedName>
    <definedName name="ValorContrapressãoVariávelMín" localSheetId="15">#REF!</definedName>
    <definedName name="ValorCpCv" localSheetId="4">#REF!</definedName>
    <definedName name="ValorCpCv" localSheetId="5">#REF!</definedName>
    <definedName name="ValorCpCv" localSheetId="6">#REF!</definedName>
    <definedName name="ValorCpCv" localSheetId="7">#REF!</definedName>
    <definedName name="ValorCpCv" localSheetId="8">#REF!</definedName>
    <definedName name="ValorCpCv" localSheetId="9">#REF!</definedName>
    <definedName name="ValorCpCv" localSheetId="10">#REF!</definedName>
    <definedName name="ValorCpCv" localSheetId="11">#REF!</definedName>
    <definedName name="ValorCpCv" localSheetId="12">#REF!</definedName>
    <definedName name="ValorCpCv" localSheetId="13">#REF!</definedName>
    <definedName name="ValorCpCv" localSheetId="14">#REF!</definedName>
    <definedName name="ValorCpCv" localSheetId="15">#REF!</definedName>
    <definedName name="ValorDensidadedoGás" localSheetId="4">#REF!</definedName>
    <definedName name="ValorDensidadedoGás" localSheetId="5">#REF!</definedName>
    <definedName name="ValorDensidadedoGás" localSheetId="6">#REF!</definedName>
    <definedName name="ValorDensidadedoGás" localSheetId="7">#REF!</definedName>
    <definedName name="ValorDensidadedoGás" localSheetId="8">#REF!</definedName>
    <definedName name="ValorDensidadedoGás" localSheetId="9">#REF!</definedName>
    <definedName name="ValorDensidadedoGás" localSheetId="10">#REF!</definedName>
    <definedName name="ValorDensidadedoGás" localSheetId="11">#REF!</definedName>
    <definedName name="ValorDensidadedoGás" localSheetId="12">#REF!</definedName>
    <definedName name="ValorDensidadedoGás" localSheetId="13">#REF!</definedName>
    <definedName name="ValorDensidadedoGás" localSheetId="14">#REF!</definedName>
    <definedName name="ValorDensidadedoGás" localSheetId="15">#REF!</definedName>
    <definedName name="ValorDensisdadedoLiquido" localSheetId="4">#REF!</definedName>
    <definedName name="ValorDensisdadedoLiquido" localSheetId="5">#REF!</definedName>
    <definedName name="ValorDensisdadedoLiquido" localSheetId="6">#REF!</definedName>
    <definedName name="ValorDensisdadedoLiquido" localSheetId="7">#REF!</definedName>
    <definedName name="ValorDensisdadedoLiquido" localSheetId="8">#REF!</definedName>
    <definedName name="ValorDensisdadedoLiquido" localSheetId="9">#REF!</definedName>
    <definedName name="ValorDensisdadedoLiquido" localSheetId="10">#REF!</definedName>
    <definedName name="ValorDensisdadedoLiquido" localSheetId="11">#REF!</definedName>
    <definedName name="ValorDensisdadedoLiquido" localSheetId="12">#REF!</definedName>
    <definedName name="ValorDensisdadedoLiquido" localSheetId="13">#REF!</definedName>
    <definedName name="ValorDensisdadedoLiquido" localSheetId="14">#REF!</definedName>
    <definedName name="ValorDensisdadedoLiquido" localSheetId="15">#REF!</definedName>
    <definedName name="ValorFatordeCompressibilidade" localSheetId="4">#REF!</definedName>
    <definedName name="ValorFatordeCompressibilidade" localSheetId="5">#REF!</definedName>
    <definedName name="ValorFatordeCompressibilidade" localSheetId="6">#REF!</definedName>
    <definedName name="ValorFatordeCompressibilidade" localSheetId="7">#REF!</definedName>
    <definedName name="ValorFatordeCompressibilidade" localSheetId="8">#REF!</definedName>
    <definedName name="ValorFatordeCompressibilidade" localSheetId="9">#REF!</definedName>
    <definedName name="ValorFatordeCompressibilidade" localSheetId="10">#REF!</definedName>
    <definedName name="ValorFatordeCompressibilidade" localSheetId="11">#REF!</definedName>
    <definedName name="ValorFatordeCompressibilidade" localSheetId="12">#REF!</definedName>
    <definedName name="ValorFatordeCompressibilidade" localSheetId="13">#REF!</definedName>
    <definedName name="ValorFatordeCompressibilidade" localSheetId="14">#REF!</definedName>
    <definedName name="ValorFatordeCompressibilidade" localSheetId="15">#REF!</definedName>
    <definedName name="ValorGasesVapor" localSheetId="4">#REF!</definedName>
    <definedName name="ValorGasesVapor" localSheetId="5">#REF!</definedName>
    <definedName name="ValorGasesVapor" localSheetId="6">#REF!</definedName>
    <definedName name="ValorGasesVapor" localSheetId="7">#REF!</definedName>
    <definedName name="ValorGasesVapor" localSheetId="8">#REF!</definedName>
    <definedName name="ValorGasesVapor" localSheetId="9">#REF!</definedName>
    <definedName name="ValorGasesVapor" localSheetId="10">#REF!</definedName>
    <definedName name="ValorGasesVapor" localSheetId="11">#REF!</definedName>
    <definedName name="ValorGasesVapor" localSheetId="12">#REF!</definedName>
    <definedName name="ValorGasesVapor" localSheetId="13">#REF!</definedName>
    <definedName name="ValorGasesVapor" localSheetId="14">#REF!</definedName>
    <definedName name="ValorGasesVapor" localSheetId="15">#REF!</definedName>
    <definedName name="ValorLíquidos" localSheetId="4">#REF!</definedName>
    <definedName name="ValorLíquidos" localSheetId="5">#REF!</definedName>
    <definedName name="ValorLíquidos" localSheetId="6">#REF!</definedName>
    <definedName name="ValorLíquidos" localSheetId="7">#REF!</definedName>
    <definedName name="ValorLíquidos" localSheetId="8">#REF!</definedName>
    <definedName name="ValorLíquidos" localSheetId="9">#REF!</definedName>
    <definedName name="ValorLíquidos" localSheetId="10">#REF!</definedName>
    <definedName name="ValorLíquidos" localSheetId="11">#REF!</definedName>
    <definedName name="ValorLíquidos" localSheetId="12">#REF!</definedName>
    <definedName name="ValorLíquidos" localSheetId="13">#REF!</definedName>
    <definedName name="ValorLíquidos" localSheetId="14">#REF!</definedName>
    <definedName name="ValorLíquidos" localSheetId="15">#REF!</definedName>
    <definedName name="ValorPesoMolecular" localSheetId="4">#REF!</definedName>
    <definedName name="ValorPesoMolecular" localSheetId="5">#REF!</definedName>
    <definedName name="ValorPesoMolecular" localSheetId="6">#REF!</definedName>
    <definedName name="ValorPesoMolecular" localSheetId="7">#REF!</definedName>
    <definedName name="ValorPesoMolecular" localSheetId="8">#REF!</definedName>
    <definedName name="ValorPesoMolecular" localSheetId="9">#REF!</definedName>
    <definedName name="ValorPesoMolecular" localSheetId="10">#REF!</definedName>
    <definedName name="ValorPesoMolecular" localSheetId="11">#REF!</definedName>
    <definedName name="ValorPesoMolecular" localSheetId="12">#REF!</definedName>
    <definedName name="ValorPesoMolecular" localSheetId="13">#REF!</definedName>
    <definedName name="ValorPesoMolecular" localSheetId="14">#REF!</definedName>
    <definedName name="ValorPesoMolecular" localSheetId="15">#REF!</definedName>
    <definedName name="ValorPessãodeOperação" localSheetId="4">#REF!</definedName>
    <definedName name="ValorPessãodeOperação" localSheetId="5">#REF!</definedName>
    <definedName name="ValorPessãodeOperação" localSheetId="6">#REF!</definedName>
    <definedName name="ValorPessãodeOperação" localSheetId="7">#REF!</definedName>
    <definedName name="ValorPessãodeOperação" localSheetId="8">#REF!</definedName>
    <definedName name="ValorPessãodeOperação" localSheetId="9">#REF!</definedName>
    <definedName name="ValorPessãodeOperação" localSheetId="10">#REF!</definedName>
    <definedName name="ValorPessãodeOperação" localSheetId="11">#REF!</definedName>
    <definedName name="ValorPessãodeOperação" localSheetId="12">#REF!</definedName>
    <definedName name="ValorPessãodeOperação" localSheetId="13">#REF!</definedName>
    <definedName name="ValorPessãodeOperação" localSheetId="14">#REF!</definedName>
    <definedName name="ValorPessãodeOperação" localSheetId="15">#REF!</definedName>
    <definedName name="ValorPressãodeAbertura" localSheetId="4">#REF!</definedName>
    <definedName name="ValorPressãodeAbertura" localSheetId="5">#REF!</definedName>
    <definedName name="ValorPressãodeAbertura" localSheetId="6">#REF!</definedName>
    <definedName name="ValorPressãodeAbertura" localSheetId="7">#REF!</definedName>
    <definedName name="ValorPressãodeAbertura" localSheetId="8">#REF!</definedName>
    <definedName name="ValorPressãodeAbertura" localSheetId="9">#REF!</definedName>
    <definedName name="ValorPressãodeAbertura" localSheetId="10">#REF!</definedName>
    <definedName name="ValorPressãodeAbertura" localSheetId="11">#REF!</definedName>
    <definedName name="ValorPressãodeAbertura" localSheetId="12">#REF!</definedName>
    <definedName name="ValorPressãodeAbertura" localSheetId="13">#REF!</definedName>
    <definedName name="ValorPressãodeAbertura" localSheetId="14">#REF!</definedName>
    <definedName name="ValorPressãodeAbertura" localSheetId="15">#REF!</definedName>
    <definedName name="ValorPressãodeAjustedaMola" localSheetId="4">#REF!</definedName>
    <definedName name="ValorPressãodeAjustedaMola" localSheetId="5">#REF!</definedName>
    <definedName name="ValorPressãodeAjustedaMola" localSheetId="6">#REF!</definedName>
    <definedName name="ValorPressãodeAjustedaMola" localSheetId="7">#REF!</definedName>
    <definedName name="ValorPressãodeAjustedaMola" localSheetId="8">#REF!</definedName>
    <definedName name="ValorPressãodeAjustedaMola" localSheetId="9">#REF!</definedName>
    <definedName name="ValorPressãodeAjustedaMola" localSheetId="10">#REF!</definedName>
    <definedName name="ValorPressãodeAjustedaMola" localSheetId="11">#REF!</definedName>
    <definedName name="ValorPressãodeAjustedaMola" localSheetId="12">#REF!</definedName>
    <definedName name="ValorPressãodeAjustedaMola" localSheetId="13">#REF!</definedName>
    <definedName name="ValorPressãodeAjustedaMola" localSheetId="14">#REF!</definedName>
    <definedName name="ValorPressãodeAjustedaMola" localSheetId="15">#REF!</definedName>
    <definedName name="ValorSobrepressão" localSheetId="4">#REF!</definedName>
    <definedName name="ValorSobrepressão" localSheetId="5">#REF!</definedName>
    <definedName name="ValorSobrepressão" localSheetId="6">#REF!</definedName>
    <definedName name="ValorSobrepressão" localSheetId="7">#REF!</definedName>
    <definedName name="ValorSobrepressão" localSheetId="8">#REF!</definedName>
    <definedName name="ValorSobrepressão" localSheetId="9">#REF!</definedName>
    <definedName name="ValorSobrepressão" localSheetId="10">#REF!</definedName>
    <definedName name="ValorSobrepressão" localSheetId="11">#REF!</definedName>
    <definedName name="ValorSobrepressão" localSheetId="12">#REF!</definedName>
    <definedName name="ValorSobrepressão" localSheetId="13">#REF!</definedName>
    <definedName name="ValorSobrepressão" localSheetId="14">#REF!</definedName>
    <definedName name="ValorSobrepressão" localSheetId="15">#REF!</definedName>
    <definedName name="ValorTemperaturadeAbertura" localSheetId="4">#REF!</definedName>
    <definedName name="ValorTemperaturadeAbertura" localSheetId="5">#REF!</definedName>
    <definedName name="ValorTemperaturadeAbertura" localSheetId="6">#REF!</definedName>
    <definedName name="ValorTemperaturadeAbertura" localSheetId="7">#REF!</definedName>
    <definedName name="ValorTemperaturadeAbertura" localSheetId="8">#REF!</definedName>
    <definedName name="ValorTemperaturadeAbertura" localSheetId="9">#REF!</definedName>
    <definedName name="ValorTemperaturadeAbertura" localSheetId="10">#REF!</definedName>
    <definedName name="ValorTemperaturadeAbertura" localSheetId="11">#REF!</definedName>
    <definedName name="ValorTemperaturadeAbertura" localSheetId="12">#REF!</definedName>
    <definedName name="ValorTemperaturadeAbertura" localSheetId="13">#REF!</definedName>
    <definedName name="ValorTemperaturadeAbertura" localSheetId="14">#REF!</definedName>
    <definedName name="ValorTemperaturadeAbertura" localSheetId="15">#REF!</definedName>
    <definedName name="ValorTemperaturadeOperação" localSheetId="4">#REF!</definedName>
    <definedName name="ValorTemperaturadeOperação" localSheetId="5">#REF!</definedName>
    <definedName name="ValorTemperaturadeOperação" localSheetId="6">#REF!</definedName>
    <definedName name="ValorTemperaturadeOperação" localSheetId="7">#REF!</definedName>
    <definedName name="ValorTemperaturadeOperação" localSheetId="8">#REF!</definedName>
    <definedName name="ValorTemperaturadeOperação" localSheetId="9">#REF!</definedName>
    <definedName name="ValorTemperaturadeOperação" localSheetId="10">#REF!</definedName>
    <definedName name="ValorTemperaturadeOperação" localSheetId="11">#REF!</definedName>
    <definedName name="ValorTemperaturadeOperação" localSheetId="12">#REF!</definedName>
    <definedName name="ValorTemperaturadeOperação" localSheetId="13">#REF!</definedName>
    <definedName name="ValorTemperaturadeOperação" localSheetId="14">#REF!</definedName>
    <definedName name="ValorTemperaturadeOperação" localSheetId="15">#REF!</definedName>
    <definedName name="ValorViscosidadedoLíquido" localSheetId="4">#REF!</definedName>
    <definedName name="ValorViscosidadedoLíquido" localSheetId="5">#REF!</definedName>
    <definedName name="ValorViscosidadedoLíquido" localSheetId="6">#REF!</definedName>
    <definedName name="ValorViscosidadedoLíquido" localSheetId="7">#REF!</definedName>
    <definedName name="ValorViscosidadedoLíquido" localSheetId="8">#REF!</definedName>
    <definedName name="ValorViscosidadedoLíquido" localSheetId="9">#REF!</definedName>
    <definedName name="ValorViscosidadedoLíquido" localSheetId="10">#REF!</definedName>
    <definedName name="ValorViscosidadedoLíquido" localSheetId="11">#REF!</definedName>
    <definedName name="ValorViscosidadedoLíquido" localSheetId="12">#REF!</definedName>
    <definedName name="ValorViscosidadedoLíquido" localSheetId="13">#REF!</definedName>
    <definedName name="ValorViscosidadedoLíquido" localSheetId="14">#REF!</definedName>
    <definedName name="ValorViscosidadedoLíquido" localSheetId="15">#REF!</definedName>
    <definedName name="VálvulaModelo" localSheetId="4">#REF!</definedName>
    <definedName name="VálvulaModelo" localSheetId="5">#REF!</definedName>
    <definedName name="VálvulaModelo" localSheetId="6">#REF!</definedName>
    <definedName name="VálvulaModelo" localSheetId="7">#REF!</definedName>
    <definedName name="VálvulaModelo" localSheetId="8">#REF!</definedName>
    <definedName name="VálvulaModelo" localSheetId="9">#REF!</definedName>
    <definedName name="VálvulaModelo" localSheetId="10">#REF!</definedName>
    <definedName name="VálvulaModelo" localSheetId="11">#REF!</definedName>
    <definedName name="VálvulaModelo" localSheetId="12">#REF!</definedName>
    <definedName name="VálvulaModelo" localSheetId="13">#REF!</definedName>
    <definedName name="VálvulaModelo" localSheetId="14">#REF!</definedName>
    <definedName name="VálvulaModelo" localSheetId="15">#REF!</definedName>
    <definedName name="VazãoMáximaTítulo" localSheetId="4">#REF!</definedName>
    <definedName name="VazãoMáximaTítulo" localSheetId="5">#REF!</definedName>
    <definedName name="VazãoMáximaTítulo" localSheetId="6">#REF!</definedName>
    <definedName name="VazãoMáximaTítulo" localSheetId="7">#REF!</definedName>
    <definedName name="VazãoMáximaTítulo" localSheetId="8">#REF!</definedName>
    <definedName name="VazãoMáximaTítulo" localSheetId="9">#REF!</definedName>
    <definedName name="VazãoMáximaTítulo" localSheetId="10">#REF!</definedName>
    <definedName name="VazãoMáximaTítulo" localSheetId="11">#REF!</definedName>
    <definedName name="VazãoMáximaTítulo" localSheetId="12">#REF!</definedName>
    <definedName name="VazãoMáximaTítulo" localSheetId="13">#REF!</definedName>
    <definedName name="VazãoMáximaTítulo" localSheetId="14">#REF!</definedName>
    <definedName name="VazãoMáximaTítulo" localSheetId="15">#REF!</definedName>
    <definedName name="ViscosidadeLíquidoTítulo" localSheetId="4">#REF!</definedName>
    <definedName name="ViscosidadeLíquidoTítulo" localSheetId="5">#REF!</definedName>
    <definedName name="ViscosidadeLíquidoTítulo" localSheetId="6">#REF!</definedName>
    <definedName name="ViscosidadeLíquidoTítulo" localSheetId="7">#REF!</definedName>
    <definedName name="ViscosidadeLíquidoTítulo" localSheetId="8">#REF!</definedName>
    <definedName name="ViscosidadeLíquidoTítulo" localSheetId="9">#REF!</definedName>
    <definedName name="ViscosidadeLíquidoTítulo" localSheetId="10">#REF!</definedName>
    <definedName name="ViscosidadeLíquidoTítulo" localSheetId="11">#REF!</definedName>
    <definedName name="ViscosidadeLíquidoTítulo" localSheetId="12">#REF!</definedName>
    <definedName name="ViscosidadeLíquidoTítulo" localSheetId="13">#REF!</definedName>
    <definedName name="ViscosidadeLíquidoTítulo" localSheetId="14">#REF!</definedName>
    <definedName name="ViscosidadeLíquidoTítulo" localSheetId="15">#REF!</definedName>
    <definedName name="WValue" localSheetId="4">#REF!</definedName>
    <definedName name="WValue" localSheetId="5">#REF!</definedName>
    <definedName name="WValue" localSheetId="6">#REF!</definedName>
    <definedName name="WValue" localSheetId="7">#REF!</definedName>
    <definedName name="WValue" localSheetId="8">#REF!</definedName>
    <definedName name="WValue" localSheetId="9">#REF!</definedName>
    <definedName name="WValue" localSheetId="10">#REF!</definedName>
    <definedName name="WValue" localSheetId="11">#REF!</definedName>
    <definedName name="WValue" localSheetId="12">#REF!</definedName>
    <definedName name="WValue" localSheetId="13">#REF!</definedName>
    <definedName name="WValue" localSheetId="14">#REF!</definedName>
    <definedName name="WValue" localSheetId="15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3" l="1"/>
  <c r="D1" i="113"/>
  <c r="A1" i="112"/>
  <c r="A5" i="112"/>
  <c r="D82" i="112"/>
  <c r="D83" i="112"/>
  <c r="H4" i="113"/>
  <c r="L1" i="113"/>
  <c r="H3" i="113"/>
  <c r="E3" i="112"/>
  <c r="E5" i="112"/>
  <c r="J1" i="112"/>
  <c r="B54" i="110" l="1"/>
  <c r="J30" i="110"/>
  <c r="J29" i="110"/>
  <c r="M28" i="110"/>
  <c r="J28" i="110"/>
  <c r="M27" i="110"/>
  <c r="J27" i="110"/>
  <c r="M20" i="110"/>
  <c r="J20" i="110"/>
  <c r="M19" i="110"/>
  <c r="J25" i="110" s="1"/>
  <c r="J19" i="110"/>
  <c r="J18" i="110"/>
  <c r="M17" i="110"/>
  <c r="J17" i="110"/>
  <c r="J13" i="110"/>
  <c r="J12" i="110"/>
  <c r="J11" i="110"/>
  <c r="G10" i="110"/>
  <c r="B54" i="105" l="1"/>
  <c r="J30" i="105"/>
  <c r="J29" i="105"/>
  <c r="M28" i="105"/>
  <c r="J28" i="105"/>
  <c r="M27" i="105"/>
  <c r="J27" i="105"/>
  <c r="M20" i="105"/>
  <c r="J20" i="105"/>
  <c r="M19" i="105"/>
  <c r="J25" i="105" s="1"/>
  <c r="J19" i="105"/>
  <c r="J18" i="105"/>
  <c r="M17" i="105"/>
  <c r="J17" i="105"/>
  <c r="J13" i="105"/>
  <c r="J12" i="105"/>
  <c r="J11" i="105"/>
  <c r="G10" i="105"/>
  <c r="G9" i="105"/>
  <c r="G8" i="105"/>
  <c r="G7" i="105"/>
  <c r="B54" i="98" l="1"/>
  <c r="J30" i="98"/>
  <c r="J29" i="98"/>
  <c r="M28" i="98"/>
  <c r="J28" i="98"/>
  <c r="M27" i="98"/>
  <c r="J27" i="98"/>
  <c r="M20" i="98"/>
  <c r="J20" i="98"/>
  <c r="M19" i="98"/>
  <c r="J25" i="98" s="1"/>
  <c r="J19" i="98"/>
  <c r="J18" i="98"/>
  <c r="M17" i="98"/>
  <c r="J17" i="98"/>
  <c r="J13" i="98"/>
  <c r="J12" i="98"/>
  <c r="J11" i="98"/>
  <c r="G10" i="98"/>
  <c r="G9" i="98"/>
  <c r="G8" i="98"/>
  <c r="G7" i="98"/>
  <c r="B54" i="95" l="1"/>
  <c r="J30" i="95"/>
  <c r="J29" i="95"/>
  <c r="M28" i="95"/>
  <c r="J28" i="95"/>
  <c r="M27" i="95"/>
  <c r="J27" i="95"/>
  <c r="M20" i="95"/>
  <c r="J20" i="95"/>
  <c r="M19" i="95"/>
  <c r="J25" i="95" s="1"/>
  <c r="J19" i="95"/>
  <c r="J18" i="95"/>
  <c r="M17" i="95"/>
  <c r="J17" i="95"/>
  <c r="J13" i="95"/>
  <c r="J24" i="95" s="1"/>
  <c r="J12" i="95"/>
  <c r="J11" i="95"/>
  <c r="G10" i="95"/>
  <c r="G9" i="95"/>
  <c r="G8" i="95"/>
  <c r="G7" i="95"/>
  <c r="B54" i="94"/>
  <c r="J30" i="94"/>
  <c r="J29" i="94"/>
  <c r="M28" i="94"/>
  <c r="J28" i="94"/>
  <c r="M27" i="94"/>
  <c r="J27" i="94"/>
  <c r="M20" i="94"/>
  <c r="J20" i="94"/>
  <c r="M19" i="94"/>
  <c r="J25" i="94" s="1"/>
  <c r="J19" i="94"/>
  <c r="J18" i="94"/>
  <c r="M17" i="94"/>
  <c r="J17" i="94"/>
  <c r="J13" i="94"/>
  <c r="J24" i="94" s="1"/>
  <c r="J12" i="94"/>
  <c r="J11" i="94"/>
  <c r="G10" i="94"/>
  <c r="G9" i="94"/>
  <c r="G8" i="94"/>
  <c r="G7" i="94"/>
  <c r="B54" i="93"/>
  <c r="J30" i="93"/>
  <c r="J29" i="93"/>
  <c r="M28" i="93"/>
  <c r="J28" i="93"/>
  <c r="M27" i="93"/>
  <c r="J27" i="93"/>
  <c r="M20" i="93"/>
  <c r="J20" i="93"/>
  <c r="M19" i="93"/>
  <c r="J25" i="93" s="1"/>
  <c r="J19" i="93"/>
  <c r="J18" i="93"/>
  <c r="M17" i="93"/>
  <c r="J17" i="93"/>
  <c r="J13" i="93"/>
  <c r="J24" i="93" s="1"/>
  <c r="J12" i="93"/>
  <c r="J11" i="93"/>
  <c r="G10" i="93"/>
  <c r="G9" i="93"/>
  <c r="G8" i="93"/>
  <c r="G7" i="93"/>
  <c r="B54" i="92"/>
  <c r="J30" i="92"/>
  <c r="J29" i="92"/>
  <c r="M28" i="92"/>
  <c r="J28" i="92"/>
  <c r="M27" i="92"/>
  <c r="J27" i="92"/>
  <c r="M20" i="92"/>
  <c r="J20" i="92"/>
  <c r="M19" i="92"/>
  <c r="J25" i="92" s="1"/>
  <c r="J19" i="92"/>
  <c r="J18" i="92"/>
  <c r="M17" i="92"/>
  <c r="J17" i="92"/>
  <c r="J13" i="92"/>
  <c r="J24" i="92" s="1"/>
  <c r="J12" i="92"/>
  <c r="J11" i="92"/>
  <c r="G10" i="92"/>
  <c r="G9" i="92"/>
  <c r="G8" i="92"/>
  <c r="G7" i="92"/>
  <c r="J30" i="84" l="1"/>
  <c r="J29" i="82"/>
  <c r="J27" i="76"/>
  <c r="M28" i="85"/>
  <c r="M28" i="86"/>
  <c r="J27" i="84"/>
  <c r="J28" i="82"/>
  <c r="M19" i="76"/>
  <c r="J25" i="76" s="1"/>
  <c r="M19" i="85"/>
  <c r="J29" i="85"/>
  <c r="J20" i="86"/>
  <c r="M19" i="84"/>
  <c r="J25" i="84" s="1"/>
  <c r="J19" i="82"/>
  <c r="J29" i="76"/>
  <c r="J27" i="85"/>
  <c r="J30" i="86"/>
  <c r="J29" i="84"/>
  <c r="M27" i="82"/>
  <c r="J28" i="76"/>
  <c r="J18" i="86"/>
  <c r="M20" i="85"/>
  <c r="J27" i="86"/>
  <c r="J28" i="84"/>
  <c r="M20" i="82"/>
  <c r="M27" i="84"/>
  <c r="B54" i="86"/>
  <c r="M28" i="82"/>
  <c r="J30" i="82"/>
  <c r="M28" i="76"/>
  <c r="J30" i="85"/>
  <c r="M19" i="86"/>
  <c r="J25" i="86" s="1"/>
  <c r="J19" i="85"/>
  <c r="J19" i="76"/>
  <c r="M27" i="85"/>
  <c r="M27" i="86"/>
  <c r="M28" i="84"/>
  <c r="J27" i="82"/>
  <c r="J20" i="76"/>
  <c r="J28" i="86"/>
  <c r="J12" i="85"/>
  <c r="J12" i="82"/>
  <c r="M20" i="76"/>
  <c r="J19" i="84"/>
  <c r="M19" i="82"/>
  <c r="J25" i="82" s="1"/>
  <c r="J20" i="85"/>
  <c r="J12" i="86"/>
  <c r="B54" i="84"/>
  <c r="M27" i="76"/>
  <c r="J19" i="86"/>
  <c r="J17" i="86"/>
  <c r="J11" i="82"/>
  <c r="J11" i="85"/>
  <c r="M17" i="86"/>
  <c r="M17" i="84"/>
  <c r="J12" i="84"/>
  <c r="M20" i="84"/>
  <c r="B54" i="85"/>
  <c r="G7" i="76"/>
  <c r="J11" i="84"/>
  <c r="G7" i="85"/>
  <c r="M20" i="86"/>
  <c r="J28" i="85"/>
  <c r="G10" i="84"/>
  <c r="G9" i="82"/>
  <c r="J18" i="82"/>
  <c r="B54" i="76"/>
  <c r="J12" i="76"/>
  <c r="J29" i="86"/>
  <c r="J18" i="76"/>
  <c r="J20" i="82"/>
  <c r="J17" i="76"/>
  <c r="G10" i="76"/>
  <c r="B54" i="82"/>
  <c r="J13" i="76" l="1"/>
  <c r="J24" i="76" s="1"/>
  <c r="J18" i="84"/>
  <c r="J17" i="84"/>
  <c r="J30" i="76"/>
  <c r="J17" i="82"/>
  <c r="G8" i="86"/>
  <c r="G7" i="86"/>
  <c r="J13" i="84"/>
  <c r="J24" i="84" s="1"/>
  <c r="J11" i="76"/>
  <c r="J18" i="85"/>
  <c r="J13" i="85"/>
  <c r="G10" i="86"/>
  <c r="J13" i="82"/>
  <c r="J24" i="82" s="1"/>
  <c r="M17" i="76"/>
  <c r="G8" i="76"/>
  <c r="G10" i="85"/>
  <c r="G10" i="82"/>
  <c r="M17" i="82"/>
  <c r="G8" i="84"/>
  <c r="G9" i="86"/>
  <c r="G9" i="84"/>
  <c r="J17" i="85"/>
  <c r="J13" i="86"/>
  <c r="J24" i="86" s="1"/>
  <c r="J11" i="86"/>
  <c r="G9" i="76"/>
  <c r="G8" i="82"/>
  <c r="M17" i="85"/>
  <c r="G7" i="84"/>
  <c r="G8" i="85"/>
  <c r="J20" i="84"/>
  <c r="G9" i="85"/>
  <c r="G7" i="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CB11B9-08C9-4DF6-8E7B-DF42BD8CF18B}" keepAlive="1" name="Consulta - ClientesTechnik" description="Conexão com a consulta 'ClientesTechnik' na pasta de trabalho." type="5" refreshedVersion="8" background="1" saveData="1">
    <dbPr connection="Provider=Microsoft.Mashup.OleDb.1;Data Source=$Workbook$;Location=ClientesTechnik;Extended Properties=&quot;&quot;" command="SELECT * FROM [ClientesTechnik]"/>
  </connection>
  <connection id="2" xr16:uid="{84B7B5E5-FCFC-4878-AD6E-2AC37D05AB7B}" keepAlive="1" name="Consulta - ClientesTechnik (2)" description="Conexão com a consulta 'ClientesTechnik (2)' na pasta de trabalho." type="5" refreshedVersion="8" background="1" saveData="1">
    <dbPr connection="Provider=Microsoft.Mashup.OleDb.1;Data Source=$Workbook$;Location=&quot;ClientesTechnik (2)&quot;;Extended Properties=&quot;&quot;" command="SELECT * FROM [ClientesTechnik (2)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<sst xmlns="http://schemas.openxmlformats.org/spreadsheetml/2006/main" count="2241" uniqueCount="236">
  <si>
    <t>FOLHA DE DADOS</t>
  </si>
  <si>
    <t>N°</t>
  </si>
  <si>
    <t>CLIENTE</t>
  </si>
  <si>
    <t>BP BUNGE</t>
  </si>
  <si>
    <t>FOLHA</t>
  </si>
  <si>
    <t>de</t>
  </si>
  <si>
    <t>UNIDADE</t>
  </si>
  <si>
    <t>MOEMA</t>
  </si>
  <si>
    <t>GERAL</t>
  </si>
  <si>
    <t>CENTRO DE ENGENHARIA TECHNIK</t>
  </si>
  <si>
    <t>REV</t>
  </si>
  <si>
    <t>0</t>
  </si>
  <si>
    <t>Peso Molecular</t>
  </si>
  <si>
    <t>FOLHAS DE DADOS</t>
  </si>
  <si>
    <t>DISPOSITIVOS DE SEGURANÇA</t>
  </si>
  <si>
    <t>LISTA DE DADOS DE PROCESSO</t>
  </si>
  <si>
    <t>ID Geral</t>
  </si>
  <si>
    <t>TAG</t>
  </si>
  <si>
    <t>Equipamento protegido</t>
  </si>
  <si>
    <t>Nome</t>
  </si>
  <si>
    <t>Local de Proteção</t>
  </si>
  <si>
    <t>Área</t>
  </si>
  <si>
    <t>Fluxograma</t>
  </si>
  <si>
    <t>Função</t>
  </si>
  <si>
    <t>Fluido</t>
  </si>
  <si>
    <t>Estado Físico</t>
  </si>
  <si>
    <t>Vazão Bomba
m3/h</t>
  </si>
  <si>
    <t>Bomba de Alimentação
TAG</t>
  </si>
  <si>
    <t>Press. Shut off 
bar</t>
  </si>
  <si>
    <t>Vazão de Alívio após avaliação de cenário
kg/h</t>
  </si>
  <si>
    <t>Serviço</t>
  </si>
  <si>
    <t>P. Operação
kgf/cm2 man.</t>
  </si>
  <si>
    <r>
      <t>P. Abertura
kgf/cm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 xml:space="preserve"> man.</t>
    </r>
  </si>
  <si>
    <r>
      <t xml:space="preserve">Temperatura Operação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</si>
  <si>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r>
      <t xml:space="preserve">Temperatura Abertura </t>
    </r>
    <r>
      <rPr>
        <b/>
        <vertAlign val="superscript"/>
        <sz val="10"/>
        <rFont val="Calibri"/>
        <family val="2"/>
        <scheme val="minor"/>
      </rPr>
      <t>o</t>
    </r>
    <r>
      <rPr>
        <b/>
        <sz val="10"/>
        <rFont val="Calibri"/>
        <family val="2"/>
        <scheme val="minor"/>
      </rPr>
      <t>C</t>
    </r>
  </si>
  <si>
    <t>Densidade líquido
kg/m3</t>
  </si>
  <si>
    <t>Densidade gás
 kg/m³ @ T;Paber</t>
  </si>
  <si>
    <t>Viscosidade
cP</t>
  </si>
  <si>
    <t>Fator de Compress.</t>
  </si>
  <si>
    <t>Cp/Cv</t>
  </si>
  <si>
    <t>Observação na folha de dados</t>
  </si>
  <si>
    <t>Instalar dispositivo de proteção?</t>
  </si>
  <si>
    <t>Tipo de Dispositivo</t>
  </si>
  <si>
    <t>Válvula Estimada</t>
  </si>
  <si>
    <t>Válvula Existente</t>
  </si>
  <si>
    <t>Orifício Padrão
mm2</t>
  </si>
  <si>
    <t>Orifício   Requerido
mm2</t>
  </si>
  <si>
    <t>Orifício Existente
mm2</t>
  </si>
  <si>
    <t>Conclusão</t>
  </si>
  <si>
    <t>N/A</t>
  </si>
  <si>
    <t>LEGENDA</t>
  </si>
  <si>
    <t>Não aplicável</t>
  </si>
  <si>
    <t xml:space="preserve">N/D </t>
  </si>
  <si>
    <t>Não disponível</t>
  </si>
  <si>
    <t>*</t>
  </si>
  <si>
    <t>Dado não disponível, valor assumido</t>
  </si>
  <si>
    <t>FD-637-PR29-001</t>
  </si>
  <si>
    <t>VÁLVULA DE SEGURANÇA / ALÍVIO</t>
  </si>
  <si>
    <t>IDENTIFICAÇÃO</t>
  </si>
  <si>
    <t>ID Projeto</t>
  </si>
  <si>
    <t>Equipamento Protegido</t>
  </si>
  <si>
    <t>Local de proteção</t>
  </si>
  <si>
    <t>4</t>
  </si>
  <si>
    <t>5</t>
  </si>
  <si>
    <t>Tipo de Válvula</t>
  </si>
  <si>
    <t>Convencional</t>
  </si>
  <si>
    <t>6</t>
  </si>
  <si>
    <t>Tipo de Bocal</t>
  </si>
  <si>
    <t>Integral</t>
  </si>
  <si>
    <t>7</t>
  </si>
  <si>
    <t>Tipo de Castelo</t>
  </si>
  <si>
    <t>Fechado</t>
  </si>
  <si>
    <t>CONDIÇÕES DE SERVIÇO</t>
  </si>
  <si>
    <t>8</t>
  </si>
  <si>
    <t>9</t>
  </si>
  <si>
    <t>Capacidade Requerida</t>
  </si>
  <si>
    <t>10</t>
  </si>
  <si>
    <t>Pressão</t>
  </si>
  <si>
    <t>Operação</t>
  </si>
  <si>
    <t>Abertura</t>
  </si>
  <si>
    <t>11</t>
  </si>
  <si>
    <t>Temperatura</t>
  </si>
  <si>
    <t>12</t>
  </si>
  <si>
    <t>Contrapressão Superimposta</t>
  </si>
  <si>
    <t>Constante</t>
  </si>
  <si>
    <t>13</t>
  </si>
  <si>
    <t xml:space="preserve"> </t>
  </si>
  <si>
    <t>Variável (Mín/Máx)</t>
  </si>
  <si>
    <t>14</t>
  </si>
  <si>
    <t>Contrapressão Desenvolvida</t>
  </si>
  <si>
    <r>
      <t>0,0 kgf / cm</t>
    </r>
    <r>
      <rPr>
        <vertAlign val="superscript"/>
        <sz val="8"/>
        <rFont val="Arial"/>
        <family val="2"/>
      </rPr>
      <t>2</t>
    </r>
  </si>
  <si>
    <t>15</t>
  </si>
  <si>
    <t>Sobrepressão</t>
  </si>
  <si>
    <t>16</t>
  </si>
  <si>
    <t>Pressão de Ajuste da Mola</t>
  </si>
  <si>
    <t>17</t>
  </si>
  <si>
    <t>Faixa de Ajuste da Mola</t>
  </si>
  <si>
    <t>Pelo Fornecedor</t>
  </si>
  <si>
    <t>PROPRIEDADES DO FLUÍDO</t>
  </si>
  <si>
    <t>18</t>
  </si>
  <si>
    <t>Massa específica Líquido</t>
  </si>
  <si>
    <t>Viscosidade Líquido</t>
  </si>
  <si>
    <t>19</t>
  </si>
  <si>
    <t>Massa específica Gás</t>
  </si>
  <si>
    <t>20</t>
  </si>
  <si>
    <t>Fator Compressibilidade</t>
  </si>
  <si>
    <t>Constante C</t>
  </si>
  <si>
    <t>-</t>
  </si>
  <si>
    <t>21</t>
  </si>
  <si>
    <t>Cp / Cv</t>
  </si>
  <si>
    <t/>
  </si>
  <si>
    <t>CRITÉRIO DE SELEÇÃO</t>
  </si>
  <si>
    <t>22</t>
  </si>
  <si>
    <t>Código</t>
  </si>
  <si>
    <t>ASME VIII / API RP-520</t>
  </si>
  <si>
    <t>23</t>
  </si>
  <si>
    <t>Outro</t>
  </si>
  <si>
    <t>CONEXÕES</t>
  </si>
  <si>
    <t>24</t>
  </si>
  <si>
    <t>Tamanho</t>
  </si>
  <si>
    <t>Entrada</t>
  </si>
  <si>
    <t>Saída</t>
  </si>
  <si>
    <t>25</t>
  </si>
  <si>
    <t>Padrão</t>
  </si>
  <si>
    <t>150#</t>
  </si>
  <si>
    <t>26</t>
  </si>
  <si>
    <t>Tipo</t>
  </si>
  <si>
    <t>RF</t>
  </si>
  <si>
    <t>27</t>
  </si>
  <si>
    <t>Acabamento</t>
  </si>
  <si>
    <t>Ranhuras Concêntricas</t>
  </si>
  <si>
    <t>28</t>
  </si>
  <si>
    <t>Norma para Flanges</t>
  </si>
  <si>
    <t>Acabamento do Ressalto</t>
  </si>
  <si>
    <t>ASME B.16.5</t>
  </si>
  <si>
    <t>MATERIAIS</t>
  </si>
  <si>
    <t>29</t>
  </si>
  <si>
    <t>Corpo</t>
  </si>
  <si>
    <t>Castelo</t>
  </si>
  <si>
    <t>Aço Inox 304</t>
  </si>
  <si>
    <t>30</t>
  </si>
  <si>
    <t>Sede (Bocal)</t>
  </si>
  <si>
    <t>Disco</t>
  </si>
  <si>
    <t>Aço Inox 316L</t>
  </si>
  <si>
    <t>31</t>
  </si>
  <si>
    <t>Guia</t>
  </si>
  <si>
    <t>Anel de Regulagem</t>
  </si>
  <si>
    <t>32</t>
  </si>
  <si>
    <t>Mola</t>
  </si>
  <si>
    <t>Acabamento da Mola</t>
  </si>
  <si>
    <t>33</t>
  </si>
  <si>
    <t>Haste</t>
  </si>
  <si>
    <t>34</t>
  </si>
  <si>
    <t>Fole</t>
  </si>
  <si>
    <t>35</t>
  </si>
  <si>
    <t>Vedação</t>
  </si>
  <si>
    <t>Metal-Metal</t>
  </si>
  <si>
    <t>36</t>
  </si>
  <si>
    <t>O'Ring</t>
  </si>
  <si>
    <t>ACESSÓRIOS</t>
  </si>
  <si>
    <t>37</t>
  </si>
  <si>
    <t>Capuz</t>
  </si>
  <si>
    <t>Não</t>
  </si>
  <si>
    <t>38</t>
  </si>
  <si>
    <t>Alavanca</t>
  </si>
  <si>
    <t>39</t>
  </si>
  <si>
    <t>Trava para Teste</t>
  </si>
  <si>
    <t>40</t>
  </si>
  <si>
    <t>Camisa de Vapor</t>
  </si>
  <si>
    <t>41</t>
  </si>
  <si>
    <t>Disco de Ruptura</t>
  </si>
  <si>
    <t>42</t>
  </si>
  <si>
    <t>Plaqueta de Identificação</t>
  </si>
  <si>
    <t>Aço Inox</t>
  </si>
  <si>
    <t>NOTAS</t>
  </si>
  <si>
    <r>
      <t>0,1 kgf / cm</t>
    </r>
    <r>
      <rPr>
        <vertAlign val="superscript"/>
        <sz val="8"/>
        <rFont val="Arial"/>
        <family val="2"/>
      </rPr>
      <t>2</t>
    </r>
  </si>
  <si>
    <t>SA-216 Gr. WCB</t>
  </si>
  <si>
    <t>Sim</t>
  </si>
  <si>
    <t>O fornecedor deve informar na proposta</t>
  </si>
  <si>
    <r>
      <t>0,0kgf / cm</t>
    </r>
    <r>
      <rPr>
        <vertAlign val="superscript"/>
        <sz val="8"/>
        <rFont val="Arial"/>
        <family val="2"/>
      </rPr>
      <t>2</t>
    </r>
  </si>
  <si>
    <t>A capacidade requerida foi adotada como valor de referência uma vez que não se espera vaporização no tanque devido à baixa temperatura</t>
  </si>
  <si>
    <t>PSV-4510; PSV-4520; PSV-4530</t>
  </si>
  <si>
    <t>RE-4510; RE-4520; RE-4530</t>
  </si>
  <si>
    <t>REATORES 01, 02 e 03</t>
  </si>
  <si>
    <t>FLUXOGRAMAS DE REFERÊNCIA</t>
  </si>
  <si>
    <t>Fluxograma Fábrica de Açucar</t>
  </si>
  <si>
    <t>Fluxograma de Processo Itapagipe</t>
  </si>
  <si>
    <t>Fluxograma de Vapor fase I</t>
  </si>
  <si>
    <t>Flux. Vapor com fábrica de açucar</t>
  </si>
  <si>
    <t>Fluxograma de Vapor</t>
  </si>
  <si>
    <t>Flux. Extração de Condensados</t>
  </si>
  <si>
    <t>N/D</t>
  </si>
  <si>
    <t>NÃO</t>
  </si>
  <si>
    <t>MCM</t>
  </si>
  <si>
    <t xml:space="preserve">DE-0717-PR-001 </t>
  </si>
  <si>
    <t>PSV-2150</t>
  </si>
  <si>
    <t>PSV-2155</t>
  </si>
  <si>
    <t>Bomba P-2150</t>
  </si>
  <si>
    <t>Bomba P-2155</t>
  </si>
  <si>
    <t>Bomba de transferência de S-MOC</t>
  </si>
  <si>
    <t>Tancado 21</t>
  </si>
  <si>
    <t>Líquido</t>
  </si>
  <si>
    <t>S - METOLACLORO</t>
  </si>
  <si>
    <t>35-40</t>
  </si>
  <si>
    <t>NA</t>
  </si>
  <si>
    <t>pelo fabricante</t>
  </si>
  <si>
    <t>PARA COMENTÁRIOS</t>
  </si>
  <si>
    <t>Alívio</t>
  </si>
  <si>
    <t>Tubulação</t>
  </si>
  <si>
    <t>JMJ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</si>
  <si>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</si>
  <si>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</si>
  <si>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</si>
  <si>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</si>
  <si>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</si>
  <si>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</si>
  <si>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</si>
  <si>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</si>
  <si>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</si>
  <si>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</si>
  <si>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</si>
  <si>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</si>
  <si>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</si>
  <si>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FOLHA DE DADOS DE VAPV</t>
  </si>
  <si>
    <t>--</t>
  </si>
  <si>
    <t>(ÁREA DE ATUAÇÃO DO PROJETO)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</si>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</sst>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\ #&quot;kg / h&quot;"/>
    <numFmt numFmtId="166" formatCode="0.0\ #&quot;°C&quot;"/>
    <numFmt numFmtId="167" formatCode="0\ %"/>
    <numFmt numFmtId="168" formatCode="0.00\ #&quot;kg / m³&quot;"/>
    <numFmt numFmtId="169" formatCode="0.00\ #&quot;kgf / cm²&quot;"/>
    <numFmt numFmtId="170" formatCode="0.0\ &quot;cP&quot;"/>
    <numFmt numFmtId="171" formatCode="0.0\ #&quot;kg / m³&quot;"/>
    <numFmt numFmtId="172" formatCode="0.000"/>
  </numFmts>
  <fonts count="30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7"/>
      <name val="Arial"/>
      <family val="2"/>
    </font>
    <font>
      <sz val="8"/>
      <name val="Calibri"/>
      <family val="2"/>
      <scheme val="minor"/>
    </font>
    <font>
      <vertAlign val="superscript"/>
      <sz val="8"/>
      <name val="Arial"/>
      <family val="2"/>
    </font>
    <font>
      <b/>
      <sz val="8"/>
      <name val="Calibri"/>
      <family val="2"/>
      <scheme val="minor"/>
    </font>
    <font>
      <sz val="10"/>
      <color rgb="FF000000"/>
      <name val="Times New Roman"/>
      <family val="1"/>
    </font>
    <font>
      <sz val="8"/>
      <color rgb="FF00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6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8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0" fontId="18" fillId="0" borderId="0"/>
  </cellStyleXfs>
  <cellXfs count="347">
    <xf numFmtId="0" fontId="0" fillId="0" borderId="0" xfId="0"/>
    <xf numFmtId="0" fontId="1" fillId="0" borderId="0" xfId="2" applyFont="1" applyAlignment="1">
      <alignment vertical="center"/>
    </xf>
    <xf numFmtId="49" fontId="2" fillId="0" borderId="18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1" fillId="0" borderId="0" xfId="2" applyFont="1" applyAlignment="1">
      <alignment vertical="center" wrapText="1"/>
    </xf>
    <xf numFmtId="49" fontId="2" fillId="0" borderId="1" xfId="2" applyNumberFormat="1" applyFont="1" applyBorder="1" applyAlignment="1">
      <alignment horizontal="center" vertical="center"/>
    </xf>
    <xf numFmtId="49" fontId="2" fillId="0" borderId="11" xfId="2" applyNumberFormat="1" applyFont="1" applyBorder="1" applyAlignment="1">
      <alignment horizontal="center" vertical="center"/>
    </xf>
    <xf numFmtId="49" fontId="2" fillId="0" borderId="32" xfId="2" applyNumberFormat="1" applyFont="1" applyBorder="1" applyAlignment="1">
      <alignment horizontal="center" vertical="center"/>
    </xf>
    <xf numFmtId="49" fontId="2" fillId="0" borderId="34" xfId="2" applyNumberFormat="1" applyFont="1" applyBorder="1" applyAlignment="1">
      <alignment horizontal="center" vertical="center"/>
    </xf>
    <xf numFmtId="0" fontId="1" fillId="0" borderId="32" xfId="2" applyFont="1" applyBorder="1" applyAlignment="1">
      <alignment vertical="center"/>
    </xf>
    <xf numFmtId="0" fontId="1" fillId="0" borderId="34" xfId="2" applyFont="1" applyBorder="1" applyAlignment="1">
      <alignment vertical="center"/>
    </xf>
    <xf numFmtId="0" fontId="2" fillId="0" borderId="32" xfId="2" applyFont="1" applyBorder="1" applyAlignment="1">
      <alignment horizontal="center" vertical="center"/>
    </xf>
    <xf numFmtId="0" fontId="1" fillId="0" borderId="43" xfId="2" applyFont="1" applyBorder="1" applyAlignment="1">
      <alignment vertical="center"/>
    </xf>
    <xf numFmtId="0" fontId="1" fillId="0" borderId="44" xfId="2" applyFont="1" applyBorder="1" applyAlignment="1">
      <alignment vertical="center"/>
    </xf>
    <xf numFmtId="0" fontId="1" fillId="0" borderId="45" xfId="2" applyFont="1" applyBorder="1" applyAlignment="1">
      <alignment vertical="center"/>
    </xf>
    <xf numFmtId="0" fontId="1" fillId="0" borderId="7" xfId="2" applyFont="1" applyBorder="1" applyAlignment="1">
      <alignment vertical="center"/>
    </xf>
    <xf numFmtId="0" fontId="1" fillId="0" borderId="57" xfId="2" applyFont="1" applyBorder="1" applyAlignment="1">
      <alignment horizontal="center" vertical="center"/>
    </xf>
    <xf numFmtId="0" fontId="1" fillId="0" borderId="57" xfId="2" applyFont="1" applyBorder="1" applyAlignment="1">
      <alignment vertical="center"/>
    </xf>
    <xf numFmtId="0" fontId="1" fillId="0" borderId="54" xfId="2" applyFont="1" applyBorder="1" applyAlignment="1">
      <alignment vertical="center"/>
    </xf>
    <xf numFmtId="0" fontId="1" fillId="0" borderId="61" xfId="2" applyFont="1" applyBorder="1" applyAlignment="1">
      <alignment vertical="center"/>
    </xf>
    <xf numFmtId="14" fontId="1" fillId="0" borderId="7" xfId="2" applyNumberFormat="1" applyFont="1" applyBorder="1" applyAlignment="1">
      <alignment horizontal="center" vertical="center"/>
    </xf>
    <xf numFmtId="49" fontId="1" fillId="0" borderId="5" xfId="2" applyNumberFormat="1" applyFont="1" applyBorder="1" applyAlignment="1">
      <alignment vertical="center"/>
    </xf>
    <xf numFmtId="0" fontId="1" fillId="0" borderId="7" xfId="2" applyFont="1" applyBorder="1" applyAlignment="1">
      <alignment horizontal="center" vertical="center"/>
    </xf>
    <xf numFmtId="49" fontId="2" fillId="0" borderId="0" xfId="2" applyNumberFormat="1" applyFont="1" applyAlignment="1">
      <alignment horizontal="center" vertical="center"/>
    </xf>
    <xf numFmtId="49" fontId="2" fillId="0" borderId="0" xfId="2" applyNumberFormat="1" applyFont="1" applyAlignment="1">
      <alignment vertical="center"/>
    </xf>
    <xf numFmtId="2" fontId="1" fillId="0" borderId="0" xfId="2" applyNumberFormat="1" applyFont="1" applyAlignment="1">
      <alignment horizontal="left" vertical="center"/>
    </xf>
    <xf numFmtId="14" fontId="1" fillId="0" borderId="54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69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70" xfId="0" applyFont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0" borderId="0" xfId="0" applyFont="1"/>
    <xf numFmtId="0" fontId="21" fillId="0" borderId="0" xfId="0" applyFont="1" applyAlignment="1">
      <alignment horizontal="center" vertical="center"/>
    </xf>
    <xf numFmtId="0" fontId="15" fillId="6" borderId="72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6" borderId="46" xfId="0" applyFont="1" applyFill="1" applyBorder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center" vertical="center"/>
    </xf>
    <xf numFmtId="0" fontId="23" fillId="6" borderId="47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center" vertical="center"/>
    </xf>
    <xf numFmtId="0" fontId="15" fillId="6" borderId="70" xfId="0" applyFont="1" applyFill="1" applyBorder="1" applyAlignment="1">
      <alignment horizontal="center" vertical="center"/>
    </xf>
    <xf numFmtId="0" fontId="15" fillId="6" borderId="47" xfId="0" applyFont="1" applyFill="1" applyBorder="1" applyAlignment="1">
      <alignment horizontal="center" vertical="center"/>
    </xf>
    <xf numFmtId="0" fontId="24" fillId="5" borderId="48" xfId="0" applyFont="1" applyFill="1" applyBorder="1" applyAlignment="1">
      <alignment horizontal="center" vertical="center"/>
    </xf>
    <xf numFmtId="0" fontId="23" fillId="5" borderId="29" xfId="0" applyFont="1" applyFill="1" applyBorder="1" applyAlignment="1">
      <alignment horizontal="left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67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9" fillId="6" borderId="7" xfId="4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/>
    </xf>
    <xf numFmtId="0" fontId="15" fillId="6" borderId="7" xfId="2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 wrapText="1"/>
    </xf>
    <xf numFmtId="0" fontId="15" fillId="3" borderId="0" xfId="2" applyFont="1" applyFill="1" applyAlignment="1">
      <alignment horizontal="center" vertical="center"/>
    </xf>
    <xf numFmtId="0" fontId="15" fillId="6" borderId="57" xfId="0" applyFont="1" applyFill="1" applyBorder="1" applyAlignment="1">
      <alignment horizontal="left" vertical="center" wrapText="1"/>
    </xf>
    <xf numFmtId="0" fontId="15" fillId="0" borderId="68" xfId="0" applyFont="1" applyBorder="1" applyAlignment="1">
      <alignment horizontal="center" vertical="center"/>
    </xf>
    <xf numFmtId="0" fontId="15" fillId="0" borderId="71" xfId="0" applyFont="1" applyBorder="1" applyAlignment="1">
      <alignment horizontal="center" vertical="center"/>
    </xf>
    <xf numFmtId="0" fontId="20" fillId="2" borderId="73" xfId="0" applyFont="1" applyFill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/>
    </xf>
    <xf numFmtId="0" fontId="15" fillId="0" borderId="75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0" fillId="2" borderId="76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/>
    </xf>
    <xf numFmtId="0" fontId="20" fillId="2" borderId="74" xfId="0" applyFont="1" applyFill="1" applyBorder="1" applyAlignment="1">
      <alignment horizontal="center" vertical="center" wrapText="1"/>
    </xf>
    <xf numFmtId="0" fontId="20" fillId="9" borderId="69" xfId="0" applyFont="1" applyFill="1" applyBorder="1" applyAlignment="1">
      <alignment horizontal="center" vertical="center" wrapText="1"/>
    </xf>
    <xf numFmtId="0" fontId="20" fillId="9" borderId="74" xfId="0" applyFont="1" applyFill="1" applyBorder="1" applyAlignment="1">
      <alignment horizontal="center" vertical="center" wrapText="1"/>
    </xf>
    <xf numFmtId="0" fontId="20" fillId="9" borderId="77" xfId="0" applyFont="1" applyFill="1" applyBorder="1" applyAlignment="1">
      <alignment horizontal="center" vertical="center" wrapText="1"/>
    </xf>
    <xf numFmtId="0" fontId="20" fillId="2" borderId="69" xfId="0" applyFont="1" applyFill="1" applyBorder="1" applyAlignment="1">
      <alignment horizontal="center" vertical="center" wrapText="1"/>
    </xf>
    <xf numFmtId="0" fontId="20" fillId="2" borderId="68" xfId="0" applyFont="1" applyFill="1" applyBorder="1" applyAlignment="1">
      <alignment horizontal="center" vertical="center" wrapText="1"/>
    </xf>
    <xf numFmtId="0" fontId="20" fillId="5" borderId="76" xfId="0" applyFont="1" applyFill="1" applyBorder="1" applyAlignment="1">
      <alignment horizontal="center" vertical="center" wrapText="1"/>
    </xf>
    <xf numFmtId="0" fontId="20" fillId="5" borderId="74" xfId="0" applyFont="1" applyFill="1" applyBorder="1" applyAlignment="1">
      <alignment horizontal="center" vertical="center" wrapText="1"/>
    </xf>
    <xf numFmtId="0" fontId="20" fillId="5" borderId="77" xfId="0" applyFont="1" applyFill="1" applyBorder="1" applyAlignment="1">
      <alignment horizontal="center" vertical="center" wrapText="1"/>
    </xf>
    <xf numFmtId="0" fontId="20" fillId="8" borderId="74" xfId="0" applyFont="1" applyFill="1" applyBorder="1" applyAlignment="1">
      <alignment horizontal="center" vertical="center" wrapText="1"/>
    </xf>
    <xf numFmtId="0" fontId="20" fillId="4" borderId="74" xfId="0" applyFont="1" applyFill="1" applyBorder="1" applyAlignment="1">
      <alignment horizontal="center" vertical="center" wrapText="1"/>
    </xf>
    <xf numFmtId="0" fontId="17" fillId="6" borderId="7" xfId="0" applyFont="1" applyFill="1" applyBorder="1" applyAlignment="1">
      <alignment horizontal="center" vertical="center"/>
    </xf>
    <xf numFmtId="0" fontId="19" fillId="6" borderId="7" xfId="4" applyFont="1" applyFill="1" applyBorder="1" applyAlignment="1">
      <alignment horizontal="center" vertical="center" wrapText="1"/>
    </xf>
    <xf numFmtId="1" fontId="15" fillId="6" borderId="7" xfId="0" applyNumberFormat="1" applyFont="1" applyFill="1" applyBorder="1" applyAlignment="1">
      <alignment horizontal="center" vertical="center"/>
    </xf>
    <xf numFmtId="164" fontId="15" fillId="6" borderId="7" xfId="0" applyNumberFormat="1" applyFont="1" applyFill="1" applyBorder="1" applyAlignment="1">
      <alignment horizontal="center" vertical="center"/>
    </xf>
    <xf numFmtId="2" fontId="15" fillId="6" borderId="7" xfId="0" applyNumberFormat="1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3" fillId="6" borderId="46" xfId="0" applyFont="1" applyFill="1" applyBorder="1" applyAlignment="1">
      <alignment horizontal="left" vertical="center"/>
    </xf>
    <xf numFmtId="0" fontId="23" fillId="6" borderId="71" xfId="0" applyFont="1" applyFill="1" applyBorder="1" applyAlignment="1">
      <alignment horizontal="left" vertical="center"/>
    </xf>
    <xf numFmtId="0" fontId="23" fillId="6" borderId="70" xfId="0" applyFont="1" applyFill="1" applyBorder="1" applyAlignment="1">
      <alignment horizontal="left" vertical="center"/>
    </xf>
    <xf numFmtId="0" fontId="23" fillId="6" borderId="48" xfId="0" applyFont="1" applyFill="1" applyBorder="1" applyAlignment="1">
      <alignment horizontal="left" vertical="center"/>
    </xf>
    <xf numFmtId="0" fontId="23" fillId="6" borderId="67" xfId="0" applyFont="1" applyFill="1" applyBorder="1" applyAlignment="1">
      <alignment horizontal="left" vertical="center"/>
    </xf>
    <xf numFmtId="0" fontId="15" fillId="6" borderId="7" xfId="0" applyFont="1" applyFill="1" applyBorder="1" applyAlignment="1">
      <alignment horizontal="left" vertical="center"/>
    </xf>
    <xf numFmtId="0" fontId="1" fillId="0" borderId="5" xfId="2" applyFont="1" applyBorder="1" applyAlignment="1">
      <alignment horizontal="center" vertical="center"/>
    </xf>
    <xf numFmtId="49" fontId="1" fillId="0" borderId="7" xfId="2" applyNumberFormat="1" applyFont="1" applyBorder="1" applyAlignment="1">
      <alignment horizontal="center" vertical="center"/>
    </xf>
    <xf numFmtId="0" fontId="1" fillId="0" borderId="5" xfId="2" applyFont="1" applyBorder="1" applyAlignment="1">
      <alignment vertical="center"/>
    </xf>
    <xf numFmtId="0" fontId="1" fillId="0" borderId="64" xfId="2" applyFont="1" applyBorder="1" applyAlignment="1">
      <alignment vertical="center"/>
    </xf>
    <xf numFmtId="0" fontId="1" fillId="0" borderId="0" xfId="2" quotePrefix="1" applyFont="1" applyAlignment="1">
      <alignment vertical="center"/>
    </xf>
    <xf numFmtId="0" fontId="1" fillId="0" borderId="3" xfId="2" applyFont="1" applyBorder="1" applyAlignment="1">
      <alignment vertical="center"/>
    </xf>
    <xf numFmtId="0" fontId="1" fillId="0" borderId="48" xfId="2" applyFont="1" applyBorder="1" applyAlignment="1">
      <alignment vertical="center"/>
    </xf>
    <xf numFmtId="0" fontId="9" fillId="0" borderId="32" xfId="2" applyFont="1" applyBorder="1" applyAlignment="1">
      <alignment horizontal="center" vertical="center" wrapText="1"/>
    </xf>
    <xf numFmtId="0" fontId="9" fillId="0" borderId="0" xfId="2" applyFont="1" applyAlignment="1">
      <alignment horizontal="left" vertical="center" wrapText="1"/>
    </xf>
    <xf numFmtId="0" fontId="1" fillId="0" borderId="58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1" fillId="0" borderId="59" xfId="2" applyFont="1" applyBorder="1" applyAlignment="1">
      <alignment horizontal="left" vertical="center"/>
    </xf>
    <xf numFmtId="0" fontId="1" fillId="0" borderId="79" xfId="2" applyFont="1" applyBorder="1" applyAlignment="1">
      <alignment horizontal="left" vertical="center"/>
    </xf>
    <xf numFmtId="0" fontId="1" fillId="0" borderId="60" xfId="2" applyFont="1" applyBorder="1" applyAlignment="1">
      <alignment horizontal="left" vertical="center"/>
    </xf>
    <xf numFmtId="0" fontId="8" fillId="0" borderId="3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8" fillId="0" borderId="55" xfId="2" applyFont="1" applyBorder="1" applyAlignment="1">
      <alignment horizontal="center" vertical="center" wrapText="1"/>
    </xf>
    <xf numFmtId="0" fontId="8" fillId="0" borderId="43" xfId="2" applyFont="1" applyBorder="1" applyAlignment="1">
      <alignment horizontal="center" vertical="center" wrapText="1"/>
    </xf>
    <xf numFmtId="0" fontId="8" fillId="0" borderId="44" xfId="2" applyFont="1" applyBorder="1" applyAlignment="1">
      <alignment horizontal="center" vertical="center" wrapText="1"/>
    </xf>
    <xf numFmtId="0" fontId="8" fillId="0" borderId="45" xfId="2" applyFont="1" applyBorder="1" applyAlignment="1">
      <alignment horizontal="center" vertical="center" wrapText="1"/>
    </xf>
    <xf numFmtId="0" fontId="1" fillId="0" borderId="30" xfId="2" applyFont="1" applyBorder="1" applyAlignment="1">
      <alignment horizontal="center" vertical="center"/>
    </xf>
    <xf numFmtId="0" fontId="1" fillId="0" borderId="31" xfId="2" applyFont="1" applyBorder="1" applyAlignment="1">
      <alignment horizontal="center" vertical="center"/>
    </xf>
    <xf numFmtId="0" fontId="1" fillId="0" borderId="32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33" xfId="2" applyFont="1" applyBorder="1" applyAlignment="1">
      <alignment horizontal="center" vertical="center"/>
    </xf>
    <xf numFmtId="0" fontId="1" fillId="0" borderId="21" xfId="2" applyFont="1" applyBorder="1" applyAlignment="1">
      <alignment horizontal="center" vertical="center"/>
    </xf>
    <xf numFmtId="49" fontId="11" fillId="0" borderId="52" xfId="2" applyNumberFormat="1" applyFont="1" applyBorder="1" applyAlignment="1">
      <alignment horizontal="center" vertical="center"/>
    </xf>
    <xf numFmtId="49" fontId="11" fillId="0" borderId="7" xfId="2" applyNumberFormat="1" applyFont="1" applyBorder="1" applyAlignment="1">
      <alignment horizontal="center" vertical="center"/>
    </xf>
    <xf numFmtId="49" fontId="11" fillId="0" borderId="22" xfId="2" applyNumberFormat="1" applyFont="1" applyBorder="1" applyAlignment="1">
      <alignment horizontal="center" vertical="center"/>
    </xf>
    <xf numFmtId="49" fontId="13" fillId="0" borderId="68" xfId="2" applyNumberFormat="1" applyFont="1" applyBorder="1" applyAlignment="1">
      <alignment horizontal="left" vertical="top"/>
    </xf>
    <xf numFmtId="49" fontId="13" fillId="0" borderId="71" xfId="2" applyNumberFormat="1" applyFont="1" applyBorder="1" applyAlignment="1">
      <alignment horizontal="left" vertical="top"/>
    </xf>
    <xf numFmtId="0" fontId="0" fillId="0" borderId="31" xfId="2" applyFont="1" applyBorder="1" applyAlignment="1">
      <alignment horizontal="center" vertical="center"/>
    </xf>
    <xf numFmtId="0" fontId="0" fillId="0" borderId="55" xfId="2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34" xfId="2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top" wrapText="1"/>
    </xf>
    <xf numFmtId="49" fontId="1" fillId="0" borderId="5" xfId="2" applyNumberFormat="1" applyFont="1" applyBorder="1" applyAlignment="1">
      <alignment horizontal="left" vertical="top"/>
    </xf>
    <xf numFmtId="0" fontId="0" fillId="0" borderId="47" xfId="2" applyFont="1" applyBorder="1" applyAlignment="1">
      <alignment horizontal="center" vertical="center"/>
    </xf>
    <xf numFmtId="0" fontId="0" fillId="0" borderId="51" xfId="2" applyFont="1" applyBorder="1" applyAlignment="1">
      <alignment horizontal="center" vertical="center"/>
    </xf>
    <xf numFmtId="0" fontId="0" fillId="0" borderId="29" xfId="2" applyFont="1" applyBorder="1" applyAlignment="1">
      <alignment horizontal="center" vertical="center"/>
    </xf>
    <xf numFmtId="0" fontId="0" fillId="0" borderId="42" xfId="2" applyFont="1" applyBorder="1" applyAlignment="1">
      <alignment horizontal="center" vertical="center"/>
    </xf>
    <xf numFmtId="49" fontId="0" fillId="0" borderId="47" xfId="2" applyNumberFormat="1" applyFont="1" applyBorder="1" applyAlignment="1">
      <alignment horizontal="center" vertical="center"/>
    </xf>
    <xf numFmtId="49" fontId="0" fillId="0" borderId="51" xfId="2" applyNumberFormat="1" applyFont="1" applyBorder="1" applyAlignment="1">
      <alignment horizontal="center" vertical="center"/>
    </xf>
    <xf numFmtId="49" fontId="0" fillId="0" borderId="29" xfId="2" applyNumberFormat="1" applyFont="1" applyBorder="1" applyAlignment="1">
      <alignment horizontal="center" vertical="center"/>
    </xf>
    <xf numFmtId="49" fontId="0" fillId="0" borderId="42" xfId="2" applyNumberFormat="1" applyFont="1" applyBorder="1" applyAlignment="1">
      <alignment horizontal="center" vertical="center"/>
    </xf>
    <xf numFmtId="49" fontId="2" fillId="0" borderId="49" xfId="2" applyNumberFormat="1" applyFont="1" applyBorder="1" applyAlignment="1">
      <alignment horizontal="center" vertical="center" wrapText="1"/>
    </xf>
    <xf numFmtId="49" fontId="2" fillId="0" borderId="27" xfId="2" applyNumberFormat="1" applyFont="1" applyBorder="1" applyAlignment="1">
      <alignment horizontal="center" vertical="center" wrapText="1"/>
    </xf>
    <xf numFmtId="49" fontId="2" fillId="0" borderId="50" xfId="2" applyNumberFormat="1" applyFont="1" applyBorder="1" applyAlignment="1">
      <alignment horizontal="center" vertical="center" wrapText="1"/>
    </xf>
    <xf numFmtId="49" fontId="2" fillId="0" borderId="32" xfId="2" applyNumberFormat="1" applyFont="1" applyBorder="1" applyAlignment="1">
      <alignment horizontal="center" vertical="center" wrapText="1"/>
    </xf>
    <xf numFmtId="49" fontId="2" fillId="0" borderId="0" xfId="2" applyNumberFormat="1" applyFont="1" applyAlignment="1">
      <alignment horizontal="center" vertical="center" wrapText="1"/>
    </xf>
    <xf numFmtId="49" fontId="2" fillId="0" borderId="70" xfId="2" applyNumberFormat="1" applyFont="1" applyBorder="1" applyAlignment="1">
      <alignment horizontal="center" vertical="center" wrapText="1"/>
    </xf>
    <xf numFmtId="49" fontId="1" fillId="0" borderId="46" xfId="2" applyNumberFormat="1" applyFont="1" applyBorder="1" applyAlignment="1">
      <alignment horizontal="left" vertical="top"/>
    </xf>
    <xf numFmtId="49" fontId="12" fillId="0" borderId="47" xfId="2" applyNumberFormat="1" applyFont="1" applyBorder="1" applyAlignment="1">
      <alignment horizontal="center" vertical="center"/>
    </xf>
    <xf numFmtId="49" fontId="12" fillId="0" borderId="51" xfId="2" applyNumberFormat="1" applyFont="1" applyBorder="1" applyAlignment="1">
      <alignment horizontal="center" vertical="center"/>
    </xf>
    <xf numFmtId="49" fontId="12" fillId="0" borderId="0" xfId="2" applyNumberFormat="1" applyFont="1" applyAlignment="1">
      <alignment horizontal="center" vertical="center"/>
    </xf>
    <xf numFmtId="49" fontId="12" fillId="0" borderId="34" xfId="2" applyNumberFormat="1" applyFont="1" applyBorder="1" applyAlignment="1">
      <alignment horizontal="center" vertical="center"/>
    </xf>
    <xf numFmtId="0" fontId="1" fillId="0" borderId="49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/>
    </xf>
    <xf numFmtId="0" fontId="1" fillId="0" borderId="50" xfId="2" applyFont="1" applyBorder="1" applyAlignment="1">
      <alignment horizontal="center" vertical="center"/>
    </xf>
    <xf numFmtId="0" fontId="1" fillId="0" borderId="70" xfId="2" applyFont="1" applyBorder="1" applyAlignment="1">
      <alignment horizontal="center" vertical="center"/>
    </xf>
    <xf numFmtId="0" fontId="1" fillId="0" borderId="78" xfId="2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1" fillId="0" borderId="0" xfId="2" applyFont="1" applyAlignment="1">
      <alignment vertical="center"/>
    </xf>
    <xf numFmtId="49" fontId="8" fillId="0" borderId="35" xfId="2" applyNumberFormat="1" applyFont="1" applyBorder="1" applyAlignment="1">
      <alignment horizontal="center" vertical="center" wrapText="1"/>
    </xf>
    <xf numFmtId="49" fontId="8" fillId="0" borderId="47" xfId="2" applyNumberFormat="1" applyFont="1" applyBorder="1" applyAlignment="1">
      <alignment horizontal="center" vertical="center" wrapText="1"/>
    </xf>
    <xf numFmtId="49" fontId="8" fillId="0" borderId="51" xfId="2" applyNumberFormat="1" applyFont="1" applyBorder="1" applyAlignment="1">
      <alignment horizontal="center" vertical="center" wrapText="1"/>
    </xf>
    <xf numFmtId="49" fontId="8" fillId="0" borderId="37" xfId="2" applyNumberFormat="1" applyFont="1" applyBorder="1" applyAlignment="1">
      <alignment horizontal="center" vertical="center" wrapText="1"/>
    </xf>
    <xf numFmtId="49" fontId="8" fillId="0" borderId="29" xfId="2" applyNumberFormat="1" applyFont="1" applyBorder="1" applyAlignment="1">
      <alignment horizontal="center" vertical="center" wrapText="1"/>
    </xf>
    <xf numFmtId="49" fontId="8" fillId="0" borderId="42" xfId="2" applyNumberFormat="1" applyFont="1" applyBorder="1" applyAlignment="1">
      <alignment horizontal="center" vertical="center" wrapText="1"/>
    </xf>
    <xf numFmtId="49" fontId="10" fillId="0" borderId="63" xfId="2" applyNumberFormat="1" applyFont="1" applyBorder="1" applyAlignment="1">
      <alignment horizontal="center" vertical="center" wrapText="1"/>
    </xf>
    <xf numFmtId="49" fontId="10" fillId="0" borderId="62" xfId="2" applyNumberFormat="1" applyFont="1" applyBorder="1" applyAlignment="1">
      <alignment horizontal="center" vertical="center" wrapText="1"/>
    </xf>
    <xf numFmtId="49" fontId="10" fillId="0" borderId="46" xfId="2" applyNumberFormat="1" applyFont="1" applyBorder="1" applyAlignment="1">
      <alignment horizontal="center" vertical="center" wrapText="1"/>
    </xf>
    <xf numFmtId="49" fontId="10" fillId="0" borderId="47" xfId="2" applyNumberFormat="1" applyFont="1" applyBorder="1" applyAlignment="1">
      <alignment horizontal="center" vertical="center" wrapText="1"/>
    </xf>
    <xf numFmtId="49" fontId="10" fillId="0" borderId="51" xfId="2" applyNumberFormat="1" applyFont="1" applyBorder="1" applyAlignment="1">
      <alignment horizontal="center" vertical="center" wrapText="1"/>
    </xf>
    <xf numFmtId="49" fontId="10" fillId="0" borderId="48" xfId="2" applyNumberFormat="1" applyFont="1" applyBorder="1" applyAlignment="1">
      <alignment horizontal="center" vertical="center" wrapText="1"/>
    </xf>
    <xf numFmtId="49" fontId="10" fillId="0" borderId="29" xfId="2" applyNumberFormat="1" applyFont="1" applyBorder="1" applyAlignment="1">
      <alignment horizontal="center" vertical="center" wrapText="1"/>
    </xf>
    <xf numFmtId="49" fontId="10" fillId="0" borderId="42" xfId="2" applyNumberFormat="1" applyFont="1" applyBorder="1" applyAlignment="1">
      <alignment horizontal="center" vertical="center" wrapText="1"/>
    </xf>
    <xf numFmtId="0" fontId="2" fillId="0" borderId="58" xfId="2" applyFont="1" applyBorder="1" applyAlignment="1">
      <alignment horizontal="center" vertical="center"/>
    </xf>
    <xf numFmtId="0" fontId="2" fillId="0" borderId="3" xfId="2" applyFont="1" applyBorder="1" applyAlignment="1">
      <alignment horizontal="center" vertical="center"/>
    </xf>
    <xf numFmtId="0" fontId="2" fillId="0" borderId="36" xfId="2" applyFont="1" applyBorder="1" applyAlignment="1">
      <alignment horizontal="center" vertical="center"/>
    </xf>
    <xf numFmtId="49" fontId="1" fillId="0" borderId="20" xfId="2" applyNumberFormat="1" applyFont="1" applyBorder="1" applyAlignment="1">
      <alignment horizontal="center" vertical="center"/>
    </xf>
    <xf numFmtId="49" fontId="1" fillId="0" borderId="21" xfId="2" applyNumberFormat="1" applyFont="1" applyBorder="1" applyAlignment="1">
      <alignment horizontal="center" vertical="center"/>
    </xf>
    <xf numFmtId="49" fontId="1" fillId="0" borderId="41" xfId="2" applyNumberFormat="1" applyFont="1" applyBorder="1" applyAlignment="1">
      <alignment horizontal="center" vertical="center"/>
    </xf>
    <xf numFmtId="49" fontId="2" fillId="0" borderId="12" xfId="2" applyNumberFormat="1" applyFont="1" applyBorder="1" applyAlignment="1">
      <alignment vertical="center"/>
    </xf>
    <xf numFmtId="0" fontId="5" fillId="0" borderId="13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49" fontId="1" fillId="0" borderId="25" xfId="2" applyNumberFormat="1" applyFont="1" applyBorder="1" applyAlignment="1">
      <alignment horizontal="center" vertical="center"/>
    </xf>
    <xf numFmtId="49" fontId="1" fillId="0" borderId="29" xfId="2" applyNumberFormat="1" applyFont="1" applyBorder="1" applyAlignment="1">
      <alignment horizontal="center" vertical="center"/>
    </xf>
    <xf numFmtId="49" fontId="1" fillId="0" borderId="42" xfId="2" applyNumberFormat="1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7" xfId="2" applyFont="1" applyBorder="1" applyAlignment="1">
      <alignment horizontal="center" vertical="center"/>
    </xf>
    <xf numFmtId="0" fontId="1" fillId="0" borderId="51" xfId="2" applyFont="1" applyBorder="1" applyAlignment="1">
      <alignment horizontal="center" vertical="center"/>
    </xf>
    <xf numFmtId="0" fontId="1" fillId="0" borderId="34" xfId="2" applyFont="1" applyBorder="1" applyAlignment="1">
      <alignment horizontal="center" vertical="center"/>
    </xf>
    <xf numFmtId="0" fontId="2" fillId="0" borderId="32" xfId="2" applyFont="1" applyBorder="1" applyAlignment="1">
      <alignment horizontal="center" vertical="center"/>
    </xf>
    <xf numFmtId="49" fontId="6" fillId="0" borderId="35" xfId="2" applyNumberFormat="1" applyFont="1" applyBorder="1" applyAlignment="1">
      <alignment horizontal="left" vertical="center" wrapText="1"/>
    </xf>
    <xf numFmtId="0" fontId="6" fillId="0" borderId="19" xfId="2" applyFont="1" applyBorder="1" applyAlignment="1">
      <alignment horizontal="left" vertical="center" wrapText="1"/>
    </xf>
    <xf numFmtId="0" fontId="6" fillId="0" borderId="32" xfId="2" applyFont="1" applyBorder="1" applyAlignment="1">
      <alignment horizontal="left" vertical="center" wrapText="1"/>
    </xf>
    <xf numFmtId="0" fontId="6" fillId="0" borderId="9" xfId="2" applyFont="1" applyBorder="1" applyAlignment="1">
      <alignment horizontal="left" vertical="center" wrapText="1"/>
    </xf>
    <xf numFmtId="0" fontId="6" fillId="0" borderId="37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49" fontId="2" fillId="0" borderId="15" xfId="2" applyNumberFormat="1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7" xfId="2" applyFont="1" applyBorder="1" applyAlignment="1">
      <alignment vertical="center"/>
    </xf>
    <xf numFmtId="49" fontId="1" fillId="0" borderId="15" xfId="2" applyNumberFormat="1" applyFont="1" applyBorder="1" applyAlignment="1">
      <alignment horizontal="center" vertical="center"/>
    </xf>
    <xf numFmtId="49" fontId="1" fillId="0" borderId="16" xfId="2" applyNumberFormat="1" applyFont="1" applyBorder="1" applyAlignment="1">
      <alignment horizontal="center" vertical="center"/>
    </xf>
    <xf numFmtId="49" fontId="1" fillId="0" borderId="38" xfId="2" applyNumberFormat="1" applyFont="1" applyBorder="1" applyAlignment="1">
      <alignment horizontal="center" vertical="center"/>
    </xf>
    <xf numFmtId="49" fontId="2" fillId="0" borderId="6" xfId="2" applyNumberFormat="1" applyFont="1" applyBorder="1" applyAlignment="1">
      <alignment vertical="center"/>
    </xf>
    <xf numFmtId="0" fontId="5" fillId="0" borderId="8" xfId="2" applyFont="1" applyBorder="1" applyAlignment="1">
      <alignment vertical="center"/>
    </xf>
    <xf numFmtId="0" fontId="5" fillId="0" borderId="2" xfId="2" applyFont="1" applyBorder="1" applyAlignment="1">
      <alignment vertical="center"/>
    </xf>
    <xf numFmtId="49" fontId="1" fillId="0" borderId="6" xfId="2" applyNumberFormat="1" applyFont="1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49" fontId="1" fillId="0" borderId="12" xfId="2" applyNumberFormat="1" applyFon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0" fontId="4" fillId="0" borderId="2" xfId="2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0" fontId="1" fillId="0" borderId="12" xfId="2" applyFont="1" applyBorder="1" applyAlignment="1">
      <alignment horizontal="center" vertical="center"/>
    </xf>
    <xf numFmtId="0" fontId="4" fillId="0" borderId="17" xfId="2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169" fontId="1" fillId="0" borderId="6" xfId="2" applyNumberFormat="1" applyFont="1" applyBorder="1" applyAlignment="1">
      <alignment horizontal="center" vertical="center"/>
    </xf>
    <xf numFmtId="169" fontId="4" fillId="0" borderId="8" xfId="2" applyNumberFormat="1" applyBorder="1" applyAlignment="1">
      <alignment horizontal="center" vertical="center"/>
    </xf>
    <xf numFmtId="169" fontId="4" fillId="0" borderId="2" xfId="2" applyNumberFormat="1" applyBorder="1" applyAlignment="1">
      <alignment horizontal="center" vertical="center"/>
    </xf>
    <xf numFmtId="169" fontId="4" fillId="0" borderId="39" xfId="2" applyNumberFormat="1" applyBorder="1" applyAlignment="1">
      <alignment horizontal="center" vertical="center"/>
    </xf>
    <xf numFmtId="49" fontId="1" fillId="0" borderId="26" xfId="2" applyNumberFormat="1" applyFont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167" fontId="1" fillId="0" borderId="6" xfId="3" applyNumberFormat="1" applyFont="1" applyFill="1" applyBorder="1" applyAlignment="1">
      <alignment horizontal="center" vertical="center"/>
    </xf>
    <xf numFmtId="167" fontId="1" fillId="0" borderId="8" xfId="3" applyNumberFormat="1" applyFont="1" applyFill="1" applyBorder="1" applyAlignment="1">
      <alignment horizontal="center" vertical="center"/>
    </xf>
    <xf numFmtId="167" fontId="1" fillId="0" borderId="39" xfId="3" applyNumberFormat="1" applyFont="1" applyFill="1" applyBorder="1" applyAlignment="1">
      <alignment horizontal="center" vertical="center"/>
    </xf>
    <xf numFmtId="169" fontId="1" fillId="0" borderId="8" xfId="2" applyNumberFormat="1" applyFont="1" applyBorder="1" applyAlignment="1">
      <alignment horizontal="center" vertical="center"/>
    </xf>
    <xf numFmtId="169" fontId="1" fillId="0" borderId="39" xfId="2" applyNumberFormat="1" applyFont="1" applyBorder="1" applyAlignment="1">
      <alignment horizontal="center" vertical="center"/>
    </xf>
    <xf numFmtId="171" fontId="1" fillId="0" borderId="15" xfId="2" applyNumberFormat="1" applyFont="1" applyBorder="1" applyAlignment="1">
      <alignment horizontal="center" vertical="center"/>
    </xf>
    <xf numFmtId="171" fontId="4" fillId="0" borderId="16" xfId="2" applyNumberFormat="1" applyBorder="1" applyAlignment="1">
      <alignment horizontal="center" vertical="center"/>
    </xf>
    <xf numFmtId="171" fontId="4" fillId="0" borderId="17" xfId="2" applyNumberFormat="1" applyBorder="1" applyAlignment="1">
      <alignment horizontal="center" vertical="center"/>
    </xf>
    <xf numFmtId="170" fontId="1" fillId="0" borderId="15" xfId="2" applyNumberFormat="1" applyFont="1" applyBorder="1" applyAlignment="1">
      <alignment horizontal="center" vertical="center"/>
    </xf>
    <xf numFmtId="170" fontId="1" fillId="0" borderId="16" xfId="2" applyNumberFormat="1" applyFont="1" applyBorder="1" applyAlignment="1">
      <alignment horizontal="center" vertical="center"/>
    </xf>
    <xf numFmtId="170" fontId="1" fillId="0" borderId="38" xfId="2" applyNumberFormat="1" applyFont="1" applyBorder="1" applyAlignment="1">
      <alignment horizontal="center" vertical="center"/>
    </xf>
    <xf numFmtId="168" fontId="1" fillId="0" borderId="20" xfId="2" applyNumberFormat="1" applyFont="1" applyBorder="1" applyAlignment="1">
      <alignment horizontal="center" vertical="center"/>
    </xf>
    <xf numFmtId="168" fontId="4" fillId="0" borderId="21" xfId="2" applyNumberFormat="1" applyBorder="1" applyAlignment="1">
      <alignment horizontal="center" vertical="center"/>
    </xf>
    <xf numFmtId="168" fontId="4" fillId="0" borderId="28" xfId="2" applyNumberFormat="1" applyBorder="1" applyAlignment="1">
      <alignment horizontal="center" vertical="center"/>
    </xf>
    <xf numFmtId="172" fontId="1" fillId="0" borderId="6" xfId="2" applyNumberFormat="1" applyFont="1" applyBorder="1" applyAlignment="1">
      <alignment horizontal="center" vertical="center"/>
    </xf>
    <xf numFmtId="172" fontId="4" fillId="0" borderId="8" xfId="2" applyNumberFormat="1" applyBorder="1" applyAlignment="1">
      <alignment horizontal="center" vertical="center"/>
    </xf>
    <xf numFmtId="172" fontId="4" fillId="0" borderId="39" xfId="2" applyNumberFormat="1" applyBorder="1" applyAlignment="1">
      <alignment horizontal="center" vertical="center"/>
    </xf>
    <xf numFmtId="164" fontId="1" fillId="0" borderId="6" xfId="2" applyNumberFormat="1" applyFont="1" applyBorder="1" applyAlignment="1">
      <alignment horizontal="center" vertical="center"/>
    </xf>
    <xf numFmtId="164" fontId="4" fillId="0" borderId="8" xfId="2" applyNumberFormat="1" applyBorder="1" applyAlignment="1">
      <alignment horizontal="center" vertical="center"/>
    </xf>
    <xf numFmtId="164" fontId="4" fillId="0" borderId="2" xfId="2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2" fillId="0" borderId="7" xfId="2" applyNumberFormat="1" applyFont="1" applyBorder="1" applyAlignment="1">
      <alignment vertical="center"/>
    </xf>
    <xf numFmtId="0" fontId="1" fillId="0" borderId="5" xfId="2" applyFont="1" applyBorder="1" applyAlignment="1">
      <alignment horizontal="left" vertical="center"/>
    </xf>
    <xf numFmtId="0" fontId="1" fillId="0" borderId="36" xfId="2" applyFont="1" applyBorder="1" applyAlignment="1">
      <alignment horizontal="left" vertical="center"/>
    </xf>
    <xf numFmtId="169" fontId="1" fillId="0" borderId="6" xfId="2" quotePrefix="1" applyNumberFormat="1" applyFont="1" applyBorder="1" applyAlignment="1">
      <alignment horizontal="center" vertical="center"/>
    </xf>
    <xf numFmtId="166" fontId="1" fillId="0" borderId="6" xfId="2" applyNumberFormat="1" applyFont="1" applyBorder="1" applyAlignment="1">
      <alignment horizontal="center" vertical="center"/>
    </xf>
    <xf numFmtId="166" fontId="4" fillId="0" borderId="8" xfId="2" applyNumberFormat="1" applyBorder="1" applyAlignment="1">
      <alignment horizontal="center" vertical="center"/>
    </xf>
    <xf numFmtId="166" fontId="4" fillId="0" borderId="2" xfId="2" applyNumberFormat="1" applyBorder="1" applyAlignment="1">
      <alignment horizontal="center" vertical="center"/>
    </xf>
    <xf numFmtId="166" fontId="4" fillId="0" borderId="39" xfId="2" applyNumberFormat="1" applyBorder="1" applyAlignment="1">
      <alignment horizontal="center" vertical="center"/>
    </xf>
    <xf numFmtId="165" fontId="1" fillId="0" borderId="6" xfId="2" applyNumberFormat="1" applyFont="1" applyBorder="1" applyAlignment="1">
      <alignment horizontal="center" vertical="center"/>
    </xf>
    <xf numFmtId="165" fontId="4" fillId="0" borderId="8" xfId="2" applyNumberFormat="1" applyBorder="1" applyAlignment="1">
      <alignment horizontal="center" vertical="center"/>
    </xf>
    <xf numFmtId="165" fontId="4" fillId="0" borderId="39" xfId="2" applyNumberFormat="1" applyBorder="1" applyAlignment="1">
      <alignment horizontal="center" vertical="center"/>
    </xf>
    <xf numFmtId="49" fontId="2" fillId="3" borderId="6" xfId="2" applyNumberFormat="1" applyFont="1" applyFill="1" applyBorder="1" applyAlignment="1">
      <alignment vertical="center"/>
    </xf>
    <xf numFmtId="0" fontId="5" fillId="3" borderId="8" xfId="2" applyFont="1" applyFill="1" applyBorder="1" applyAlignment="1">
      <alignment vertical="center"/>
    </xf>
    <xf numFmtId="0" fontId="5" fillId="3" borderId="2" xfId="2" applyFont="1" applyFill="1" applyBorder="1" applyAlignment="1">
      <alignment vertical="center"/>
    </xf>
    <xf numFmtId="0" fontId="1" fillId="0" borderId="87" xfId="2" applyFont="1" applyBorder="1" applyAlignment="1">
      <alignment horizontal="center" vertical="center"/>
    </xf>
    <xf numFmtId="0" fontId="1" fillId="0" borderId="85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86" xfId="2" applyFont="1" applyBorder="1" applyAlignment="1">
      <alignment horizontal="center" vertical="center"/>
    </xf>
    <xf numFmtId="0" fontId="1" fillId="0" borderId="84" xfId="2" applyFont="1" applyBorder="1" applyAlignment="1">
      <alignment horizontal="center" vertical="center"/>
    </xf>
    <xf numFmtId="0" fontId="1" fillId="0" borderId="81" xfId="2" applyFont="1" applyBorder="1" applyAlignment="1">
      <alignment horizontal="center" vertical="center"/>
    </xf>
    <xf numFmtId="0" fontId="1" fillId="0" borderId="82" xfId="2" applyFont="1" applyBorder="1" applyAlignment="1">
      <alignment horizontal="center" vertical="center"/>
    </xf>
    <xf numFmtId="0" fontId="1" fillId="0" borderId="83" xfId="2" applyFont="1" applyBorder="1" applyAlignment="1">
      <alignment horizontal="center" vertical="center"/>
    </xf>
    <xf numFmtId="0" fontId="11" fillId="0" borderId="66" xfId="2" applyFont="1" applyBorder="1" applyAlignment="1">
      <alignment horizontal="center" vertical="center"/>
    </xf>
    <xf numFmtId="0" fontId="11" fillId="0" borderId="52" xfId="2" applyFont="1" applyBorder="1" applyAlignment="1">
      <alignment horizontal="center" vertical="center"/>
    </xf>
    <xf numFmtId="0" fontId="11" fillId="0" borderId="72" xfId="2" applyFont="1" applyBorder="1" applyAlignment="1">
      <alignment horizontal="center" vertical="center"/>
    </xf>
    <xf numFmtId="0" fontId="11" fillId="0" borderId="22" xfId="2" applyFont="1" applyBorder="1" applyAlignment="1">
      <alignment horizontal="center" vertical="center"/>
    </xf>
    <xf numFmtId="0" fontId="4" fillId="0" borderId="65" xfId="2" applyBorder="1" applyAlignment="1">
      <alignment horizontal="left" vertical="top"/>
    </xf>
    <xf numFmtId="0" fontId="4" fillId="0" borderId="5" xfId="2" applyBorder="1" applyAlignment="1">
      <alignment horizontal="left" vertical="top"/>
    </xf>
    <xf numFmtId="0" fontId="4" fillId="3" borderId="66" xfId="2" applyFill="1" applyBorder="1" applyAlignment="1">
      <alignment horizontal="center" vertical="center"/>
    </xf>
    <xf numFmtId="0" fontId="4" fillId="3" borderId="52" xfId="2" applyFill="1" applyBorder="1" applyAlignment="1">
      <alignment horizontal="center" vertical="center"/>
    </xf>
    <xf numFmtId="0" fontId="4" fillId="3" borderId="53" xfId="2" applyFill="1" applyBorder="1" applyAlignment="1">
      <alignment horizontal="center" vertical="center"/>
    </xf>
    <xf numFmtId="0" fontId="4" fillId="3" borderId="4" xfId="2" applyFill="1" applyBorder="1" applyAlignment="1">
      <alignment horizontal="center" vertical="center"/>
    </xf>
    <xf numFmtId="0" fontId="4" fillId="3" borderId="7" xfId="2" applyFill="1" applyBorder="1" applyAlignment="1">
      <alignment horizontal="center" vertical="center"/>
    </xf>
    <xf numFmtId="0" fontId="4" fillId="3" borderId="57" xfId="2" applyFill="1" applyBorder="1" applyAlignment="1">
      <alignment horizontal="center" vertical="center"/>
    </xf>
    <xf numFmtId="0" fontId="1" fillId="0" borderId="3" xfId="2" applyFont="1" applyBorder="1" applyAlignment="1">
      <alignment horizontal="center" vertical="center"/>
    </xf>
    <xf numFmtId="0" fontId="1" fillId="0" borderId="36" xfId="2" applyFont="1" applyBorder="1" applyAlignment="1">
      <alignment horizontal="center" vertical="center"/>
    </xf>
    <xf numFmtId="0" fontId="1" fillId="0" borderId="15" xfId="2" applyFont="1" applyBorder="1" applyAlignment="1">
      <alignment horizontal="center" vertical="center"/>
    </xf>
    <xf numFmtId="0" fontId="1" fillId="0" borderId="16" xfId="2" applyFont="1" applyBorder="1" applyAlignment="1">
      <alignment horizontal="center" vertical="center"/>
    </xf>
    <xf numFmtId="0" fontId="1" fillId="0" borderId="38" xfId="2" applyFont="1" applyBorder="1" applyAlignment="1">
      <alignment horizontal="center" vertical="center"/>
    </xf>
    <xf numFmtId="49" fontId="2" fillId="0" borderId="8" xfId="2" applyNumberFormat="1" applyFont="1" applyBorder="1" applyAlignment="1">
      <alignment vertical="center"/>
    </xf>
    <xf numFmtId="49" fontId="2" fillId="0" borderId="2" xfId="2" applyNumberFormat="1" applyFont="1" applyBorder="1" applyAlignment="1">
      <alignment vertical="center"/>
    </xf>
    <xf numFmtId="0" fontId="1" fillId="0" borderId="20" xfId="2" applyFont="1" applyBorder="1" applyAlignment="1">
      <alignment horizontal="center" vertical="center"/>
    </xf>
    <xf numFmtId="0" fontId="1" fillId="0" borderId="41" xfId="2" applyFont="1" applyBorder="1" applyAlignment="1">
      <alignment horizontal="center" vertical="center"/>
    </xf>
    <xf numFmtId="0" fontId="2" fillId="0" borderId="56" xfId="2" applyFont="1" applyBorder="1" applyAlignment="1">
      <alignment horizontal="center" vertical="center"/>
    </xf>
    <xf numFmtId="0" fontId="2" fillId="0" borderId="7" xfId="2" applyFont="1" applyBorder="1" applyAlignment="1">
      <alignment horizontal="center" vertical="center"/>
    </xf>
    <xf numFmtId="0" fontId="2" fillId="0" borderId="80" xfId="2" applyFont="1" applyBorder="1" applyAlignment="1">
      <alignment horizontal="center" vertical="center"/>
    </xf>
    <xf numFmtId="49" fontId="6" fillId="0" borderId="19" xfId="2" applyNumberFormat="1" applyFont="1" applyBorder="1" applyAlignment="1">
      <alignment horizontal="left" vertical="center" wrapText="1"/>
    </xf>
    <xf numFmtId="49" fontId="6" fillId="0" borderId="32" xfId="2" applyNumberFormat="1" applyFont="1" applyBorder="1" applyAlignment="1">
      <alignment horizontal="left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6" fillId="0" borderId="37" xfId="2" applyNumberFormat="1" applyFont="1" applyBorder="1" applyAlignment="1">
      <alignment horizontal="left" vertical="center" wrapText="1"/>
    </xf>
    <xf numFmtId="49" fontId="6" fillId="0" borderId="14" xfId="2" applyNumberFormat="1" applyFont="1" applyBorder="1" applyAlignment="1">
      <alignment horizontal="left" vertical="center" wrapText="1"/>
    </xf>
    <xf numFmtId="49" fontId="2" fillId="0" borderId="23" xfId="2" applyNumberFormat="1" applyFont="1" applyBorder="1" applyAlignment="1">
      <alignment horizontal="center" vertical="center"/>
    </xf>
    <xf numFmtId="49" fontId="2" fillId="0" borderId="24" xfId="2" applyNumberFormat="1" applyFont="1" applyBorder="1" applyAlignment="1">
      <alignment horizontal="center" vertical="center"/>
    </xf>
    <xf numFmtId="49" fontId="2" fillId="0" borderId="25" xfId="2" applyNumberFormat="1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center"/>
    </xf>
    <xf numFmtId="0" fontId="22" fillId="0" borderId="68" xfId="0" applyFont="1" applyBorder="1" applyAlignment="1">
      <alignment horizontal="center" vertical="center"/>
    </xf>
    <xf numFmtId="0" fontId="22" fillId="0" borderId="31" xfId="0" applyFont="1" applyBorder="1" applyAlignment="1">
      <alignment horizontal="left" vertical="center"/>
    </xf>
    <xf numFmtId="0" fontId="22" fillId="0" borderId="31" xfId="0" applyFont="1" applyBorder="1" applyAlignment="1">
      <alignment horizontal="center" vertical="center"/>
    </xf>
    <xf numFmtId="0" fontId="22" fillId="0" borderId="69" xfId="0" applyFont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2" fillId="0" borderId="7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68" fontId="1" fillId="0" borderId="15" xfId="2" applyNumberFormat="1" applyFont="1" applyBorder="1" applyAlignment="1">
      <alignment horizontal="center" vertical="center"/>
    </xf>
    <xf numFmtId="168" fontId="4" fillId="0" borderId="16" xfId="2" applyNumberFormat="1" applyBorder="1" applyAlignment="1">
      <alignment horizontal="center" vertical="center"/>
    </xf>
    <xf numFmtId="168" fontId="4" fillId="0" borderId="17" xfId="2" applyNumberFormat="1" applyBorder="1" applyAlignment="1">
      <alignment horizontal="center" vertical="center"/>
    </xf>
    <xf numFmtId="164" fontId="4" fillId="0" borderId="39" xfId="2" applyNumberFormat="1" applyBorder="1" applyAlignment="1">
      <alignment horizontal="center" vertical="center"/>
    </xf>
    <xf numFmtId="49" fontId="2" fillId="0" borderId="56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horizontal="center" vertical="center"/>
    </xf>
    <xf numFmtId="49" fontId="1" fillId="0" borderId="4" xfId="2" applyNumberFormat="1" applyFont="1" applyBorder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49" fontId="1" fillId="0" borderId="30" xfId="2" applyNumberFormat="1" applyFont="1" applyBorder="1" applyAlignment="1">
      <alignment horizontal="center" vertical="center"/>
    </xf>
    <xf numFmtId="49" fontId="1" fillId="0" borderId="31" xfId="2" applyNumberFormat="1" applyFont="1" applyBorder="1" applyAlignment="1">
      <alignment horizontal="center" vertical="center"/>
    </xf>
    <xf numFmtId="49" fontId="1" fillId="0" borderId="32" xfId="2" applyNumberFormat="1" applyFont="1" applyBorder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4" fillId="0" borderId="65" xfId="2" applyNumberFormat="1" applyBorder="1" applyAlignment="1">
      <alignment horizontal="right" vertical="center"/>
    </xf>
    <xf numFmtId="49" fontId="4" fillId="0" borderId="5" xfId="2" applyNumberFormat="1" applyBorder="1" applyAlignment="1">
      <alignment horizontal="right" vertical="center"/>
    </xf>
    <xf numFmtId="49" fontId="4" fillId="0" borderId="66" xfId="2" applyNumberFormat="1" applyBorder="1" applyAlignment="1">
      <alignment horizontal="center" vertical="center"/>
    </xf>
    <xf numFmtId="0" fontId="4" fillId="0" borderId="52" xfId="2" applyBorder="1" applyAlignment="1">
      <alignment horizontal="center" vertical="center"/>
    </xf>
    <xf numFmtId="0" fontId="4" fillId="0" borderId="53" xfId="2" applyBorder="1" applyAlignment="1">
      <alignment horizontal="center" vertical="center"/>
    </xf>
    <xf numFmtId="0" fontId="4" fillId="0" borderId="4" xfId="2" applyBorder="1" applyAlignment="1">
      <alignment horizontal="center" vertical="center"/>
    </xf>
    <xf numFmtId="0" fontId="4" fillId="0" borderId="7" xfId="2" applyBorder="1" applyAlignment="1">
      <alignment horizontal="center" vertical="center"/>
    </xf>
    <xf numFmtId="0" fontId="4" fillId="0" borderId="57" xfId="2" applyBorder="1" applyAlignment="1">
      <alignment horizontal="center" vertical="center"/>
    </xf>
    <xf numFmtId="49" fontId="1" fillId="0" borderId="46" xfId="2" applyNumberFormat="1" applyFont="1" applyBorder="1" applyAlignment="1">
      <alignment horizontal="center" vertical="top"/>
    </xf>
    <xf numFmtId="49" fontId="1" fillId="0" borderId="48" xfId="2" applyNumberFormat="1" applyFont="1" applyBorder="1" applyAlignment="1">
      <alignment horizontal="center" vertical="top"/>
    </xf>
    <xf numFmtId="49" fontId="1" fillId="0" borderId="47" xfId="2" applyNumberFormat="1" applyFont="1" applyBorder="1" applyAlignment="1">
      <alignment horizontal="center" vertical="center"/>
    </xf>
    <xf numFmtId="0" fontId="1" fillId="0" borderId="42" xfId="2" applyFont="1" applyBorder="1" applyAlignment="1">
      <alignment horizontal="center" vertical="center"/>
    </xf>
    <xf numFmtId="49" fontId="2" fillId="0" borderId="20" xfId="2" applyNumberFormat="1" applyFont="1" applyBorder="1" applyAlignment="1">
      <alignment vertical="center"/>
    </xf>
    <xf numFmtId="0" fontId="5" fillId="0" borderId="21" xfId="2" applyFont="1" applyBorder="1" applyAlignment="1">
      <alignment vertical="center"/>
    </xf>
    <xf numFmtId="0" fontId="5" fillId="0" borderId="28" xfId="2" applyFont="1" applyBorder="1" applyAlignment="1">
      <alignment vertical="center"/>
    </xf>
    <xf numFmtId="2" fontId="1" fillId="0" borderId="6" xfId="2" applyNumberFormat="1" applyFont="1" applyBorder="1" applyAlignment="1">
      <alignment horizontal="center" vertical="center"/>
    </xf>
    <xf numFmtId="2" fontId="4" fillId="0" borderId="8" xfId="2" applyNumberFormat="1" applyBorder="1" applyAlignment="1">
      <alignment horizontal="center" vertical="center"/>
    </xf>
    <xf numFmtId="2" fontId="4" fillId="0" borderId="2" xfId="2" applyNumberFormat="1" applyBorder="1" applyAlignment="1">
      <alignment horizontal="center" vertical="center"/>
    </xf>
    <xf numFmtId="49" fontId="1" fillId="0" borderId="8" xfId="2" applyNumberFormat="1" applyFont="1" applyBorder="1" applyAlignment="1">
      <alignment horizontal="center" vertical="center"/>
    </xf>
    <xf numFmtId="49" fontId="1" fillId="0" borderId="39" xfId="2" applyNumberFormat="1" applyFont="1" applyBorder="1" applyAlignment="1">
      <alignment horizontal="center" vertical="center"/>
    </xf>
    <xf numFmtId="0" fontId="14" fillId="0" borderId="6" xfId="2" applyFont="1" applyBorder="1" applyAlignment="1">
      <alignment horizontal="left" vertical="center"/>
    </xf>
    <xf numFmtId="0" fontId="14" fillId="0" borderId="8" xfId="2" applyFont="1" applyBorder="1" applyAlignment="1">
      <alignment horizontal="left" vertical="center"/>
    </xf>
    <xf numFmtId="0" fontId="14" fillId="0" borderId="2" xfId="2" applyFont="1" applyBorder="1" applyAlignment="1">
      <alignment horizontal="left" vertical="center"/>
    </xf>
    <xf numFmtId="49" fontId="1" fillId="0" borderId="13" xfId="2" applyNumberFormat="1" applyFont="1" applyBorder="1" applyAlignment="1">
      <alignment horizontal="center" vertical="center"/>
    </xf>
    <xf numFmtId="49" fontId="1" fillId="0" borderId="40" xfId="2" applyNumberFormat="1" applyFont="1" applyBorder="1" applyAlignment="1">
      <alignment horizontal="center" vertical="center"/>
    </xf>
    <xf numFmtId="0" fontId="1" fillId="0" borderId="8" xfId="2" applyFont="1" applyBorder="1" applyAlignment="1">
      <alignment horizontal="center" vertical="center"/>
    </xf>
    <xf numFmtId="0" fontId="1" fillId="0" borderId="39" xfId="2" applyFont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4" xr:uid="{00000000-0005-0000-0000-000002000000}"/>
    <cellStyle name="Normal 3 2" xfId="2" xr:uid="{00000000-0005-0000-0000-000003000000}"/>
    <cellStyle name="Porcentagem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0/07/relationships/rdRichValueWebImage" Target="richData/rdRichValueWebImage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476084</xdr:colOff>
      <xdr:row>11</xdr:row>
      <xdr:rowOff>43732</xdr:rowOff>
    </xdr:from>
    <xdr:to>
      <xdr:col>21</xdr:col>
      <xdr:colOff>376693</xdr:colOff>
      <xdr:row>18</xdr:row>
      <xdr:rowOff>103366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3524E5-7F12-4434-81E6-B4507DBE9CFA}"/>
            </a:ext>
          </a:extLst>
        </xdr:cNvPr>
        <xdr:cNvSpPr/>
      </xdr:nvSpPr>
      <xdr:spPr bwMode="auto">
        <a:xfrm>
          <a:off x="10488764" y="1887772"/>
          <a:ext cx="1569389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470452</xdr:colOff>
      <xdr:row>2</xdr:row>
      <xdr:rowOff>13252</xdr:rowOff>
    </xdr:from>
    <xdr:to>
      <xdr:col>21</xdr:col>
      <xdr:colOff>424070</xdr:colOff>
      <xdr:row>9</xdr:row>
      <xdr:rowOff>106017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F109201-AACF-499E-B2BD-B37B753D3158}"/>
            </a:ext>
          </a:extLst>
        </xdr:cNvPr>
        <xdr:cNvSpPr/>
      </xdr:nvSpPr>
      <xdr:spPr bwMode="auto">
        <a:xfrm>
          <a:off x="9746974" y="457200"/>
          <a:ext cx="1444487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388620</xdr:colOff>
      <xdr:row>18</xdr:row>
      <xdr:rowOff>79512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2405FC2-6454-4D5B-964B-61FBA236A65B}"/>
            </a:ext>
          </a:extLst>
        </xdr:cNvPr>
        <xdr:cNvSpPr/>
      </xdr:nvSpPr>
      <xdr:spPr bwMode="auto">
        <a:xfrm>
          <a:off x="9085690" y="1863918"/>
          <a:ext cx="1315610" cy="12788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192156</xdr:colOff>
      <xdr:row>2</xdr:row>
      <xdr:rowOff>13252</xdr:rowOff>
    </xdr:from>
    <xdr:to>
      <xdr:col>18</xdr:col>
      <xdr:colOff>384312</xdr:colOff>
      <xdr:row>9</xdr:row>
      <xdr:rowOff>106017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7F19EF6-223A-4C2C-B284-99B80C9A6E29}"/>
            </a:ext>
          </a:extLst>
        </xdr:cNvPr>
        <xdr:cNvSpPr/>
      </xdr:nvSpPr>
      <xdr:spPr bwMode="auto">
        <a:xfrm>
          <a:off x="8474765" y="457200"/>
          <a:ext cx="1186069" cy="11860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291548</xdr:colOff>
      <xdr:row>3</xdr:row>
      <xdr:rowOff>86597</xdr:rowOff>
    </xdr:from>
    <xdr:to>
      <xdr:col>21</xdr:col>
      <xdr:colOff>38432</xdr:colOff>
      <xdr:row>9</xdr:row>
      <xdr:rowOff>21867</xdr:rowOff>
    </xdr:to>
    <xdr:pic macro="[0]!VincularImagens">
      <xdr:nvPicPr>
        <xdr:cNvPr id="15" name="Gráfico 14" descr="Computação em Nuvem estrutura de tópicos">
          <a:extLst>
            <a:ext uri="{FF2B5EF4-FFF2-40B4-BE49-F238E27FC236}">
              <a16:creationId xmlns:a16="http://schemas.microsoft.com/office/drawing/2014/main" id="{FC611157-F1C6-49B9-B057-6F51316AD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65026" y="689571"/>
          <a:ext cx="862717" cy="84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238980</xdr:colOff>
      <xdr:row>12</xdr:row>
      <xdr:rowOff>98397</xdr:rowOff>
    </xdr:from>
    <xdr:to>
      <xdr:col>18</xdr:col>
      <xdr:colOff>54916</xdr:colOff>
      <xdr:row>18</xdr:row>
      <xdr:rowOff>38350</xdr:rowOff>
    </xdr:to>
    <xdr:pic macro="[0]!ExportarPDF">
      <xdr:nvPicPr>
        <xdr:cNvPr id="16" name="Gráfico 15" descr="Impressora com preenchimento sólido">
          <a:extLst>
            <a:ext uri="{FF2B5EF4-FFF2-40B4-BE49-F238E27FC236}">
              <a16:creationId xmlns:a16="http://schemas.microsoft.com/office/drawing/2014/main" id="{21811D2B-50EF-4008-A3C9-460F493F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1589" y="2092849"/>
          <a:ext cx="931769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183210</xdr:colOff>
      <xdr:row>12</xdr:row>
      <xdr:rowOff>113306</xdr:rowOff>
    </xdr:from>
    <xdr:to>
      <xdr:col>20</xdr:col>
      <xdr:colOff>541019</xdr:colOff>
      <xdr:row>18</xdr:row>
      <xdr:rowOff>101379</xdr:rowOff>
    </xdr:to>
    <xdr:pic macro="[0]!AreaDeImpressaoCapa">
      <xdr:nvPicPr>
        <xdr:cNvPr id="17" name="Gráfico 16" descr="Impressora estrutura de tópicos">
          <a:extLst>
            <a:ext uri="{FF2B5EF4-FFF2-40B4-BE49-F238E27FC236}">
              <a16:creationId xmlns:a16="http://schemas.microsoft.com/office/drawing/2014/main" id="{E18D2BCC-2045-4D7D-8088-CA8C5C227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56688" y="2107758"/>
          <a:ext cx="917382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356153</xdr:colOff>
      <xdr:row>3</xdr:row>
      <xdr:rowOff>116950</xdr:rowOff>
    </xdr:from>
    <xdr:to>
      <xdr:col>18</xdr:col>
      <xdr:colOff>155714</xdr:colOff>
      <xdr:row>9</xdr:row>
      <xdr:rowOff>105023</xdr:rowOff>
    </xdr:to>
    <xdr:pic macro="[0]!CaputarLogos">
      <xdr:nvPicPr>
        <xdr:cNvPr id="18" name="Gráfico 17" descr="Imagens com preenchimento sólido">
          <a:extLst>
            <a:ext uri="{FF2B5EF4-FFF2-40B4-BE49-F238E27FC236}">
              <a16:creationId xmlns:a16="http://schemas.microsoft.com/office/drawing/2014/main" id="{1236C750-DCC6-45A2-B31D-2D44DFDB4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38762" y="719924"/>
          <a:ext cx="915394" cy="899491"/>
        </a:xfrm>
        <a:prstGeom prst="rect">
          <a:avLst/>
        </a:prstGeom>
      </xdr:spPr>
    </xdr:pic>
    <xdr:clientData/>
  </xdr:twoCellAnchor>
  <xdr:oneCellAnchor>
    <xdr:from>
      <xdr:col>18</xdr:col>
      <xdr:colOff>525448</xdr:colOff>
      <xdr:row>2</xdr:row>
      <xdr:rowOff>17227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A6D918E4-D172-47D3-A5BF-6D2E250A1622}"/>
            </a:ext>
          </a:extLst>
        </xdr:cNvPr>
        <xdr:cNvSpPr/>
      </xdr:nvSpPr>
      <xdr:spPr>
        <a:xfrm>
          <a:off x="10538128" y="45918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99781</xdr:colOff>
      <xdr:row>2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D8C285F-6FFA-46E1-9D8A-3C675F02E3B3}"/>
            </a:ext>
          </a:extLst>
        </xdr:cNvPr>
        <xdr:cNvSpPr/>
      </xdr:nvSpPr>
      <xdr:spPr>
        <a:xfrm>
          <a:off x="8504641" y="30281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29487</xdr:colOff>
      <xdr:row>11</xdr:row>
      <xdr:rowOff>19878</xdr:rowOff>
    </xdr:from>
    <xdr:ext cx="1424941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007479A-6200-4B39-A46D-F7EFB8092B7C}"/>
            </a:ext>
          </a:extLst>
        </xdr:cNvPr>
        <xdr:cNvSpPr/>
      </xdr:nvSpPr>
      <xdr:spPr>
        <a:xfrm>
          <a:off x="8312096" y="186193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509215</xdr:colOff>
      <xdr:row>11</xdr:row>
      <xdr:rowOff>6626</xdr:rowOff>
    </xdr:from>
    <xdr:ext cx="1516380" cy="269369"/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4426DD47-F411-4E21-B487-A98C1EA5326C}"/>
            </a:ext>
          </a:extLst>
        </xdr:cNvPr>
        <xdr:cNvSpPr/>
      </xdr:nvSpPr>
      <xdr:spPr>
        <a:xfrm>
          <a:off x="10521895" y="1850666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409492</xdr:colOff>
      <xdr:row>2</xdr:row>
      <xdr:rowOff>13252</xdr:rowOff>
    </xdr:from>
    <xdr:to>
      <xdr:col>21</xdr:col>
      <xdr:colOff>381000</xdr:colOff>
      <xdr:row>10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D750385-9831-4050-BFD4-4F0D918ED4BF}"/>
            </a:ext>
          </a:extLst>
        </xdr:cNvPr>
        <xdr:cNvSpPr/>
      </xdr:nvSpPr>
      <xdr:spPr bwMode="auto">
        <a:xfrm>
          <a:off x="10422172" y="394252"/>
          <a:ext cx="1640288" cy="135834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213360</xdr:colOff>
      <xdr:row>11</xdr:row>
      <xdr:rowOff>47377</xdr:rowOff>
    </xdr:from>
    <xdr:to>
      <xdr:col>19</xdr:col>
      <xdr:colOff>401209</xdr:colOff>
      <xdr:row>18</xdr:row>
      <xdr:rowOff>107011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6708CE04-16CE-4F48-9920-0FB36A36E6EC}"/>
            </a:ext>
          </a:extLst>
        </xdr:cNvPr>
        <xdr:cNvSpPr/>
      </xdr:nvSpPr>
      <xdr:spPr bwMode="auto">
        <a:xfrm>
          <a:off x="9675412" y="1862925"/>
          <a:ext cx="1301032" cy="12191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62616</xdr:colOff>
      <xdr:row>2</xdr:row>
      <xdr:rowOff>5632</xdr:rowOff>
    </xdr:from>
    <xdr:to>
      <xdr:col>18</xdr:col>
      <xdr:colOff>254772</xdr:colOff>
      <xdr:row>10</xdr:row>
      <xdr:rowOff>106680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5505F45-F373-436E-9D97-6A1E47DD1501}"/>
            </a:ext>
          </a:extLst>
        </xdr:cNvPr>
        <xdr:cNvSpPr/>
      </xdr:nvSpPr>
      <xdr:spPr bwMode="auto">
        <a:xfrm>
          <a:off x="6859656" y="386632"/>
          <a:ext cx="1015116" cy="125928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159026</xdr:colOff>
      <xdr:row>3</xdr:row>
      <xdr:rowOff>86597</xdr:rowOff>
    </xdr:from>
    <xdr:to>
      <xdr:col>21</xdr:col>
      <xdr:colOff>38432</xdr:colOff>
      <xdr:row>10</xdr:row>
      <xdr:rowOff>3701</xdr:rowOff>
    </xdr:to>
    <xdr:pic macro="[0]!VincularImagens">
      <xdr:nvPicPr>
        <xdr:cNvPr id="8" name="Gráfico 7" descr="Computação em Nuvem estrutura de tópicos">
          <a:extLst>
            <a:ext uri="{FF2B5EF4-FFF2-40B4-BE49-F238E27FC236}">
              <a16:creationId xmlns:a16="http://schemas.microsoft.com/office/drawing/2014/main" id="{24749EDC-DB45-4D86-9BBB-20643353D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34261" y="663067"/>
          <a:ext cx="992588" cy="990530"/>
        </a:xfrm>
        <a:prstGeom prst="rect">
          <a:avLst/>
        </a:prstGeom>
      </xdr:spPr>
    </xdr:pic>
    <xdr:clientData/>
  </xdr:twoCellAnchor>
  <xdr:twoCellAnchor editAs="oneCell">
    <xdr:from>
      <xdr:col>17</xdr:col>
      <xdr:colOff>393368</xdr:colOff>
      <xdr:row>12</xdr:row>
      <xdr:rowOff>98397</xdr:rowOff>
    </xdr:from>
    <xdr:to>
      <xdr:col>19</xdr:col>
      <xdr:colOff>209303</xdr:colOff>
      <xdr:row>17</xdr:row>
      <xdr:rowOff>114550</xdr:rowOff>
    </xdr:to>
    <xdr:pic macro="[0]!ExportarPDF">
      <xdr:nvPicPr>
        <xdr:cNvPr id="9" name="Gráfico 8" descr="Impressora com preenchimento sólido">
          <a:extLst>
            <a:ext uri="{FF2B5EF4-FFF2-40B4-BE49-F238E27FC236}">
              <a16:creationId xmlns:a16="http://schemas.microsoft.com/office/drawing/2014/main" id="{DDF6BA3D-33B9-4979-A5A1-37E5DD2A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855420" y="2079597"/>
          <a:ext cx="929118" cy="844414"/>
        </a:xfrm>
        <a:prstGeom prst="rect">
          <a:avLst/>
        </a:prstGeom>
      </xdr:spPr>
    </xdr:pic>
    <xdr:clientData/>
  </xdr:twoCellAnchor>
  <xdr:twoCellAnchor editAs="oneCell">
    <xdr:from>
      <xdr:col>16</xdr:col>
      <xdr:colOff>249473</xdr:colOff>
      <xdr:row>3</xdr:row>
      <xdr:rowOff>40750</xdr:rowOff>
    </xdr:from>
    <xdr:to>
      <xdr:col>18</xdr:col>
      <xdr:colOff>49034</xdr:colOff>
      <xdr:row>9</xdr:row>
      <xdr:rowOff>44063</xdr:rowOff>
    </xdr:to>
    <xdr:pic macro="[0]!CaputarLogos">
      <xdr:nvPicPr>
        <xdr:cNvPr id="11" name="Gráfico 10" descr="Imagens com preenchimento sólido">
          <a:extLst>
            <a:ext uri="{FF2B5EF4-FFF2-40B4-BE49-F238E27FC236}">
              <a16:creationId xmlns:a16="http://schemas.microsoft.com/office/drawing/2014/main" id="{EB1D3920-6D5F-4626-A8A6-FC71AEC4D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49633" y="612250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426388</xdr:colOff>
      <xdr:row>2</xdr:row>
      <xdr:rowOff>1987</xdr:rowOff>
    </xdr:from>
    <xdr:ext cx="1424941" cy="269369"/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4FD20862-1CE0-483D-9D7C-A5239110A1E2}"/>
            </a:ext>
          </a:extLst>
        </xdr:cNvPr>
        <xdr:cNvSpPr/>
      </xdr:nvSpPr>
      <xdr:spPr>
        <a:xfrm>
          <a:off x="9677068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15</xdr:col>
      <xdr:colOff>541741</xdr:colOff>
      <xdr:row>2</xdr:row>
      <xdr:rowOff>20872</xdr:rowOff>
    </xdr:from>
    <xdr:ext cx="1424941" cy="269369"/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16DC45BD-27A4-4607-9585-66FD42EC391E}"/>
            </a:ext>
          </a:extLst>
        </xdr:cNvPr>
        <xdr:cNvSpPr/>
      </xdr:nvSpPr>
      <xdr:spPr>
        <a:xfrm>
          <a:off x="8885641" y="40187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17</xdr:col>
      <xdr:colOff>123578</xdr:colOff>
      <xdr:row>11</xdr:row>
      <xdr:rowOff>25510</xdr:rowOff>
    </xdr:from>
    <xdr:ext cx="1424941" cy="269369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4841899-99A2-4579-8430-EB3901C8D5C0}"/>
            </a:ext>
          </a:extLst>
        </xdr:cNvPr>
        <xdr:cNvSpPr/>
      </xdr:nvSpPr>
      <xdr:spPr>
        <a:xfrm>
          <a:off x="9585630" y="1841058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276059</xdr:colOff>
      <xdr:row>1</xdr:row>
      <xdr:rowOff>19050</xdr:rowOff>
    </xdr:from>
    <xdr:to>
      <xdr:col>3</xdr:col>
      <xdr:colOff>726358</xdr:colOff>
      <xdr:row>4</xdr:row>
      <xdr:rowOff>121175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276059" y="171450"/>
          <a:ext cx="1345648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CAC07BE-929D-453B-AF2B-DB28E0CA478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19B8BEB-750A-41DD-8C0E-24FCF22A0D87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CE0415A-8067-4A53-BDAF-688FFC616F24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38623DE-BAD5-4CE2-BB19-15D5877176C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2FD0C0D-4E8B-493E-9DBE-10CDFD87A085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2C0DC2-6295-4F2E-A7BB-FCC5AD74F396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BEE6541-27D6-496F-BD2D-004CF51DAA13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41D607F-C2B1-4198-8651-FD1D9FA5A69A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3464561-9D02-4BF1-97BC-DA52CBE24438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C44B372-FD4C-4889-B5AD-9EDA55E2768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32AF002-399F-4A4A-BB13-94F1F0A5CB6E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57645</xdr:colOff>
      <xdr:row>0</xdr:row>
      <xdr:rowOff>28492</xdr:rowOff>
    </xdr:from>
    <xdr:to>
      <xdr:col>5</xdr:col>
      <xdr:colOff>425946</xdr:colOff>
      <xdr:row>2</xdr:row>
      <xdr:rowOff>178242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71D6444-5354-4971-9F9D-83071F081611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936" r="10054"/>
        <a:stretch/>
      </xdr:blipFill>
      <xdr:spPr bwMode="auto">
        <a:xfrm>
          <a:off x="1600695" y="28492"/>
          <a:ext cx="1339851" cy="5307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B78912-4CE6-44D1-A861-2ACB99B3C123}" name="TDados" displayName="TDados" ref="A1:I2" totalsRowShown="0">
  <autoFilter ref="A1:I2" xr:uid="{00000000-0009-0000-0100-000001000000}"/>
  <tableColumns count="9">
    <tableColumn id="1" xr3:uid="{58778EA5-AE95-4610-B5EF-5E24F02D380A}" name="id"/>
    <tableColumn id="2" xr3:uid="{61B15463-3365-4B90-AEDC-9BA57E058517}" name="logoCliente"/>
    <tableColumn id="3" xr3:uid="{83032E0D-5CBC-468C-B6CA-D2A9585DCB06}" name="nomeCliente"/>
    <tableColumn id="4" xr3:uid="{E838215C-B2C3-46F5-AE11-26B8532F1BC7}" name="numProjeto"/>
    <tableColumn id="5" xr3:uid="{995AA9D7-2F9A-49CB-AE35-4A4577ACDC9B}" name="cidadeCliente"/>
    <tableColumn id="6" xr3:uid="{C56A409E-C767-44DE-9007-5D4F210EC8F0}" name="siglaProjeto"/>
    <tableColumn id="7" xr3:uid="{73C4FE95-AA94-4167-ACAF-06FCDA3E2F6D}" name="solicitante"/>
    <tableColumn id="8" xr3:uid="{E32B298C-03A7-4C2E-A010-3256536E905A}" name="responsavelTecnico"/>
    <tableColumn id="9" xr3:uid="{7471BF70-2755-44F9-A0EE-1A65C87043BF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48CF-187A-47D6-8B6E-D6D50470A105}">
  <sheetPr codeName="Planilha4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</row>
    <row r="2" spans="1:9" x14ac:dyDescent="0.25">
      <c r="A2">
        <v>1</v>
      </c>
      <c r="B2" t="s">
        <v>235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D2">
    <pageSetUpPr fitToPage="1"/>
  </sheetPr>
  <dimension ref="A1:W85"/>
  <sheetViews>
    <sheetView showGridLines="0" view="pageBreakPreview" zoomScale="70" zoomScaleNormal="70" zoomScaleSheetLayoutView="70" workbookViewId="0">
      <selection activeCell="P32" sqref="P32"/>
    </sheetView>
  </sheetViews>
  <sheetFormatPr defaultColWidth="8.109375" defaultRowHeight="12" customHeight="1" x14ac:dyDescent="0.25"/>
  <cols>
    <col min="1" max="16384" width="8.109375" style="1"/>
  </cols>
  <sheetData>
    <row r="1" spans="1:22" ht="12" customHeight="1" x14ac:dyDescent="0.25">
      <c r="A1" s="112" t="e" vm="1">
        <f>_xlfn.IMAGE(TDados[logoCliente])</f>
        <v>#VALUE!</v>
      </c>
      <c r="B1" s="113"/>
      <c r="C1" s="113"/>
      <c r="D1" s="118" t="s">
        <v>0</v>
      </c>
      <c r="E1" s="118"/>
      <c r="F1" s="118"/>
      <c r="G1" s="118"/>
      <c r="H1" s="118"/>
      <c r="I1" s="121" t="s">
        <v>1</v>
      </c>
      <c r="J1" s="123" t="str">
        <f>"FD-"&amp;Config!D2&amp;"-"&amp;Config!F2&amp;"-001"</f>
        <v>FD---001</v>
      </c>
      <c r="K1" s="123"/>
      <c r="L1" s="123"/>
      <c r="M1" s="123"/>
      <c r="N1" s="123"/>
      <c r="O1" s="124"/>
    </row>
    <row r="2" spans="1:22" ht="12" customHeight="1" x14ac:dyDescent="0.25">
      <c r="A2" s="114"/>
      <c r="B2" s="115"/>
      <c r="C2" s="115"/>
      <c r="D2" s="119"/>
      <c r="E2" s="120"/>
      <c r="F2" s="120"/>
      <c r="G2" s="120"/>
      <c r="H2" s="120"/>
      <c r="I2" s="122"/>
      <c r="J2" s="125"/>
      <c r="K2" s="125"/>
      <c r="L2" s="125"/>
      <c r="M2" s="125"/>
      <c r="N2" s="125"/>
      <c r="O2" s="126"/>
      <c r="Q2"/>
      <c r="R2"/>
      <c r="S2"/>
      <c r="T2"/>
      <c r="U2"/>
      <c r="V2"/>
    </row>
    <row r="3" spans="1:22" ht="12" customHeight="1" x14ac:dyDescent="0.25">
      <c r="A3" s="114"/>
      <c r="B3" s="115"/>
      <c r="C3" s="115"/>
      <c r="D3" s="127" t="s">
        <v>211</v>
      </c>
      <c r="E3" s="129">
        <f>Config!C2</f>
        <v>0</v>
      </c>
      <c r="F3" s="129"/>
      <c r="G3" s="129"/>
      <c r="H3" s="129"/>
      <c r="I3" s="129"/>
      <c r="J3" s="129"/>
      <c r="K3" s="129"/>
      <c r="L3" s="129"/>
      <c r="M3" s="129"/>
      <c r="N3" s="129"/>
      <c r="O3" s="130"/>
      <c r="Q3"/>
      <c r="R3"/>
      <c r="S3"/>
      <c r="T3"/>
      <c r="U3"/>
      <c r="V3"/>
    </row>
    <row r="4" spans="1:22" ht="12" customHeight="1" x14ac:dyDescent="0.25">
      <c r="A4" s="116"/>
      <c r="B4" s="117"/>
      <c r="C4" s="117"/>
      <c r="D4" s="128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2"/>
      <c r="Q4"/>
      <c r="R4"/>
      <c r="S4"/>
      <c r="T4"/>
      <c r="U4"/>
      <c r="V4"/>
    </row>
    <row r="5" spans="1:22" ht="12" customHeight="1" x14ac:dyDescent="0.25">
      <c r="A5" s="148" t="e" vm="1">
        <f t="shared" ref="A5:C8" si="0">_xlfn.IMAGE("https://technikgrupo.sharepoint.com/sites/transfer/Logos/Technik.png")</f>
        <v>#VALUE!</v>
      </c>
      <c r="B5" s="149"/>
      <c r="C5" s="150"/>
      <c r="D5" s="127" t="s">
        <v>212</v>
      </c>
      <c r="E5" s="129">
        <f>Config!E2</f>
        <v>0</v>
      </c>
      <c r="F5" s="129"/>
      <c r="G5" s="129"/>
      <c r="H5" s="129"/>
      <c r="I5" s="129"/>
      <c r="J5" s="129"/>
      <c r="K5" s="129"/>
      <c r="L5" s="129"/>
      <c r="M5" s="129"/>
      <c r="N5" s="129"/>
      <c r="O5" s="130"/>
      <c r="Q5"/>
      <c r="R5"/>
      <c r="S5"/>
      <c r="T5"/>
      <c r="U5"/>
      <c r="V5"/>
    </row>
    <row r="6" spans="1:22" ht="12" customHeight="1" x14ac:dyDescent="0.25">
      <c r="A6" s="114"/>
      <c r="B6" s="115"/>
      <c r="C6" s="151"/>
      <c r="D6" s="128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2"/>
      <c r="Q6"/>
      <c r="R6"/>
      <c r="S6"/>
      <c r="T6"/>
      <c r="U6"/>
      <c r="V6"/>
    </row>
    <row r="7" spans="1:22" ht="12" customHeight="1" x14ac:dyDescent="0.25">
      <c r="A7" s="114"/>
      <c r="B7" s="115"/>
      <c r="C7" s="151"/>
      <c r="D7" s="127" t="s">
        <v>213</v>
      </c>
      <c r="E7" s="133" t="s">
        <v>225</v>
      </c>
      <c r="F7" s="133"/>
      <c r="G7" s="133"/>
      <c r="H7" s="133"/>
      <c r="I7" s="133"/>
      <c r="J7" s="133"/>
      <c r="K7" s="133"/>
      <c r="L7" s="133"/>
      <c r="M7" s="133"/>
      <c r="N7" s="133"/>
      <c r="O7" s="134"/>
      <c r="Q7"/>
      <c r="R7"/>
      <c r="S7"/>
      <c r="T7"/>
      <c r="U7"/>
      <c r="V7"/>
    </row>
    <row r="8" spans="1:22" ht="12" customHeight="1" x14ac:dyDescent="0.25">
      <c r="A8" s="116"/>
      <c r="B8" s="117"/>
      <c r="C8" s="152"/>
      <c r="D8" s="128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6"/>
      <c r="Q8"/>
      <c r="R8"/>
      <c r="S8"/>
      <c r="T8"/>
      <c r="U8"/>
      <c r="V8"/>
    </row>
    <row r="9" spans="1:22" ht="12" customHeight="1" x14ac:dyDescent="0.25">
      <c r="A9" s="137" t="s">
        <v>9</v>
      </c>
      <c r="B9" s="138"/>
      <c r="C9" s="139"/>
      <c r="D9" s="127" t="s">
        <v>214</v>
      </c>
      <c r="E9" s="144" t="s">
        <v>223</v>
      </c>
      <c r="F9" s="144"/>
      <c r="G9" s="144"/>
      <c r="H9" s="144"/>
      <c r="I9" s="144"/>
      <c r="J9" s="144"/>
      <c r="K9" s="144"/>
      <c r="L9" s="144"/>
      <c r="M9" s="144"/>
      <c r="N9" s="144"/>
      <c r="O9" s="145"/>
      <c r="Q9"/>
      <c r="R9"/>
      <c r="S9"/>
      <c r="T9"/>
      <c r="U9"/>
      <c r="V9"/>
    </row>
    <row r="10" spans="1:22" ht="12" customHeight="1" x14ac:dyDescent="0.25">
      <c r="A10" s="140"/>
      <c r="B10" s="141"/>
      <c r="C10" s="142"/>
      <c r="D10" s="143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Q10"/>
      <c r="R10"/>
      <c r="S10"/>
      <c r="T10"/>
      <c r="U10"/>
      <c r="V10"/>
    </row>
    <row r="11" spans="1:22" ht="12" customHeight="1" x14ac:dyDescent="0.25">
      <c r="A11" s="155" t="s">
        <v>215</v>
      </c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7"/>
      <c r="Q11"/>
      <c r="R11"/>
      <c r="S11"/>
      <c r="T11"/>
      <c r="U11"/>
      <c r="V11"/>
    </row>
    <row r="12" spans="1:22" ht="12" customHeight="1" x14ac:dyDescent="0.25">
      <c r="A12" s="158"/>
      <c r="B12" s="159"/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60"/>
      <c r="Q12"/>
      <c r="R12"/>
      <c r="S12"/>
      <c r="U12" s="154"/>
    </row>
    <row r="13" spans="1:22" ht="12" customHeight="1" x14ac:dyDescent="0.25">
      <c r="A13" s="161" t="s">
        <v>10</v>
      </c>
      <c r="B13" s="163" t="s">
        <v>216</v>
      </c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P13"/>
      <c r="Q13"/>
      <c r="R13"/>
      <c r="S13"/>
      <c r="U13" s="154"/>
    </row>
    <row r="14" spans="1:22" ht="12" customHeight="1" thickBot="1" x14ac:dyDescent="0.3">
      <c r="A14" s="162"/>
      <c r="B14" s="166"/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8"/>
      <c r="Q14"/>
      <c r="R14"/>
      <c r="S14"/>
      <c r="U14" s="154"/>
    </row>
    <row r="15" spans="1:22" ht="12" customHeight="1" x14ac:dyDescent="0.25">
      <c r="A15" s="98" t="s">
        <v>11</v>
      </c>
      <c r="B15" s="99" t="s">
        <v>206</v>
      </c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153"/>
      <c r="Q15"/>
      <c r="R15"/>
      <c r="S15"/>
      <c r="U15" s="154"/>
    </row>
    <row r="16" spans="1:22" ht="12" customHeight="1" x14ac:dyDescent="0.25">
      <c r="A16" s="98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153"/>
      <c r="Q16"/>
      <c r="R16"/>
      <c r="S16"/>
      <c r="U16" s="154"/>
    </row>
    <row r="17" spans="1:23" ht="12" customHeight="1" x14ac:dyDescent="0.25">
      <c r="A17" s="98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153"/>
      <c r="Q17"/>
      <c r="R17"/>
      <c r="S17"/>
      <c r="U17" s="154"/>
    </row>
    <row r="18" spans="1:23" ht="12" customHeight="1" x14ac:dyDescent="0.25">
      <c r="A18" s="98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153"/>
      <c r="Q18"/>
      <c r="R18"/>
      <c r="S18"/>
      <c r="U18" s="154"/>
    </row>
    <row r="19" spans="1:23" ht="12" customHeight="1" x14ac:dyDescent="0.25">
      <c r="A19" s="98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153"/>
      <c r="Q19"/>
      <c r="R19"/>
      <c r="S19"/>
      <c r="U19" s="154"/>
    </row>
    <row r="20" spans="1:23" ht="12" customHeight="1" x14ac:dyDescent="0.25">
      <c r="A20" s="98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153"/>
      <c r="W20" s="95" t="s">
        <v>224</v>
      </c>
    </row>
    <row r="21" spans="1:23" ht="12" customHeight="1" x14ac:dyDescent="0.25">
      <c r="A21" s="98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153"/>
    </row>
    <row r="22" spans="1:23" ht="12" customHeight="1" x14ac:dyDescent="0.25">
      <c r="A22" s="98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153"/>
    </row>
    <row r="23" spans="1:23" ht="12" customHeight="1" x14ac:dyDescent="0.25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153"/>
    </row>
    <row r="24" spans="1:23" ht="12" customHeight="1" x14ac:dyDescent="0.25">
      <c r="A24" s="98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153"/>
    </row>
    <row r="25" spans="1:23" ht="12" customHeight="1" x14ac:dyDescent="0.25">
      <c r="A25" s="98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153"/>
    </row>
    <row r="26" spans="1:23" ht="12" customHeight="1" x14ac:dyDescent="0.25">
      <c r="A26" s="98"/>
      <c r="B26" s="99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153"/>
    </row>
    <row r="27" spans="1:23" ht="12" customHeight="1" x14ac:dyDescent="0.25">
      <c r="A27" s="98"/>
      <c r="B27" s="99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153"/>
    </row>
    <row r="28" spans="1:23" ht="12" customHeight="1" x14ac:dyDescent="0.25">
      <c r="A28" s="98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153"/>
    </row>
    <row r="29" spans="1:23" ht="12" customHeight="1" x14ac:dyDescent="0.25">
      <c r="A29" s="98"/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153"/>
    </row>
    <row r="30" spans="1:23" ht="12" customHeight="1" x14ac:dyDescent="0.25">
      <c r="A30" s="98"/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153"/>
    </row>
    <row r="31" spans="1:23" ht="12" customHeight="1" x14ac:dyDescent="0.25">
      <c r="A31" s="98"/>
      <c r="B31" s="99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153"/>
    </row>
    <row r="32" spans="1:23" ht="12" customHeight="1" x14ac:dyDescent="0.25">
      <c r="A32" s="98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153"/>
    </row>
    <row r="33" spans="1:15" ht="12" customHeight="1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153"/>
    </row>
    <row r="34" spans="1:15" ht="12" customHeight="1" x14ac:dyDescent="0.25">
      <c r="A34" s="98"/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153"/>
    </row>
    <row r="35" spans="1:15" ht="12" customHeight="1" x14ac:dyDescent="0.25">
      <c r="A35" s="98"/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153"/>
    </row>
    <row r="36" spans="1:15" ht="12" customHeight="1" x14ac:dyDescent="0.25">
      <c r="A36" s="98"/>
      <c r="B36" s="99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153"/>
    </row>
    <row r="37" spans="1:15" ht="12" customHeight="1" x14ac:dyDescent="0.25">
      <c r="A37" s="98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153"/>
    </row>
    <row r="38" spans="1:15" ht="12" customHeight="1" x14ac:dyDescent="0.25">
      <c r="A38" s="98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153"/>
    </row>
    <row r="39" spans="1:15" ht="12" customHeight="1" x14ac:dyDescent="0.25">
      <c r="A39" s="98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153"/>
    </row>
    <row r="40" spans="1:15" ht="12" customHeight="1" x14ac:dyDescent="0.25">
      <c r="A40" s="98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153"/>
    </row>
    <row r="41" spans="1:15" ht="12" customHeight="1" x14ac:dyDescent="0.25">
      <c r="A41" s="98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153"/>
    </row>
    <row r="42" spans="1:15" ht="12" customHeight="1" x14ac:dyDescent="0.25">
      <c r="A42" s="98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153"/>
    </row>
    <row r="43" spans="1:15" ht="12" customHeight="1" x14ac:dyDescent="0.25">
      <c r="A43" s="98"/>
      <c r="B43" s="99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153"/>
    </row>
    <row r="44" spans="1:15" ht="12" customHeight="1" x14ac:dyDescent="0.25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153"/>
    </row>
    <row r="45" spans="1:15" ht="12" customHeight="1" x14ac:dyDescent="0.25">
      <c r="A45" s="98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153"/>
    </row>
    <row r="46" spans="1:15" ht="12" customHeight="1" x14ac:dyDescent="0.25">
      <c r="A46" s="98"/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153"/>
    </row>
    <row r="47" spans="1:15" ht="12" customHeight="1" x14ac:dyDescent="0.25">
      <c r="A47" s="98"/>
      <c r="B47" s="99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153"/>
    </row>
    <row r="48" spans="1:15" ht="12" customHeight="1" x14ac:dyDescent="0.25">
      <c r="A48" s="98"/>
      <c r="B48" s="99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153"/>
    </row>
    <row r="49" spans="1:15" ht="12" customHeight="1" x14ac:dyDescent="0.25">
      <c r="A49" s="98"/>
      <c r="B49" s="99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153"/>
    </row>
    <row r="50" spans="1:15" ht="12" customHeight="1" thickBot="1" x14ac:dyDescent="0.3">
      <c r="A50" s="98"/>
      <c r="B50" s="99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153"/>
    </row>
    <row r="51" spans="1:15" ht="12" customHeight="1" x14ac:dyDescent="0.25">
      <c r="A51" s="106" t="s">
        <v>217</v>
      </c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8"/>
    </row>
    <row r="52" spans="1:15" ht="12" customHeight="1" thickBot="1" x14ac:dyDescent="0.3">
      <c r="A52" s="109"/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1"/>
    </row>
    <row r="53" spans="1:15" ht="12" customHeight="1" x14ac:dyDescent="0.25">
      <c r="A53" s="98"/>
      <c r="B53" s="99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153"/>
    </row>
    <row r="54" spans="1:15" ht="12" customHeight="1" x14ac:dyDescent="0.25">
      <c r="A54" s="98"/>
      <c r="B54" s="99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153"/>
    </row>
    <row r="55" spans="1:15" ht="12" customHeight="1" x14ac:dyDescent="0.25">
      <c r="A55" s="98"/>
      <c r="B55" s="99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153"/>
    </row>
    <row r="56" spans="1:15" ht="12" customHeight="1" x14ac:dyDescent="0.25">
      <c r="A56" s="98"/>
      <c r="B56" s="99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153"/>
    </row>
    <row r="57" spans="1:15" ht="12" customHeight="1" x14ac:dyDescent="0.25">
      <c r="A57" s="98"/>
      <c r="B57" s="99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153"/>
    </row>
    <row r="58" spans="1:15" ht="12" customHeight="1" x14ac:dyDescent="0.25">
      <c r="A58" s="98"/>
      <c r="B58" s="99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153"/>
    </row>
    <row r="59" spans="1:15" ht="12" customHeight="1" x14ac:dyDescent="0.25">
      <c r="A59" s="98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153"/>
    </row>
    <row r="60" spans="1:15" ht="12" customHeight="1" x14ac:dyDescent="0.25">
      <c r="A60" s="98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153"/>
    </row>
    <row r="61" spans="1:15" ht="12" customHeight="1" x14ac:dyDescent="0.25">
      <c r="A61" s="98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153"/>
    </row>
    <row r="62" spans="1:15" ht="12" customHeight="1" x14ac:dyDescent="0.25">
      <c r="A62" s="98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153"/>
    </row>
    <row r="63" spans="1:15" ht="12" customHeight="1" x14ac:dyDescent="0.25">
      <c r="A63" s="98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153"/>
    </row>
    <row r="64" spans="1:15" ht="12" customHeight="1" x14ac:dyDescent="0.25">
      <c r="A64" s="98"/>
      <c r="B64" s="99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153"/>
    </row>
    <row r="65" spans="1:15" ht="12" customHeight="1" x14ac:dyDescent="0.25">
      <c r="A65" s="98"/>
      <c r="B65" s="99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153"/>
    </row>
    <row r="66" spans="1:15" ht="12" customHeight="1" x14ac:dyDescent="0.25">
      <c r="A66" s="98"/>
      <c r="B66" s="99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153"/>
    </row>
    <row r="67" spans="1:15" ht="12" customHeight="1" x14ac:dyDescent="0.25">
      <c r="A67" s="98"/>
      <c r="B67" s="99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153"/>
    </row>
    <row r="68" spans="1:15" s="3" customFormat="1" ht="12" customHeight="1" x14ac:dyDescent="0.25">
      <c r="A68" s="98"/>
      <c r="B68" s="99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153"/>
    </row>
    <row r="69" spans="1:15" s="3" customFormat="1" ht="12" customHeight="1" x14ac:dyDescent="0.25">
      <c r="A69" s="98"/>
      <c r="B69" s="99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153"/>
    </row>
    <row r="70" spans="1:15" s="3" customFormat="1" ht="12" customHeight="1" x14ac:dyDescent="0.25">
      <c r="A70" s="98"/>
      <c r="B70" s="99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153"/>
    </row>
    <row r="71" spans="1:15" ht="12" customHeight="1" x14ac:dyDescent="0.25">
      <c r="A71" s="98"/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153"/>
    </row>
    <row r="72" spans="1:15" ht="12" customHeight="1" x14ac:dyDescent="0.25">
      <c r="A72" s="98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153"/>
    </row>
    <row r="73" spans="1:15" ht="12" customHeight="1" x14ac:dyDescent="0.25">
      <c r="A73" s="98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153"/>
    </row>
    <row r="74" spans="1:15" ht="12" customHeight="1" x14ac:dyDescent="0.25">
      <c r="A74" s="98"/>
      <c r="B74" s="99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153"/>
    </row>
    <row r="75" spans="1:15" ht="12" customHeight="1" x14ac:dyDescent="0.25">
      <c r="A75" s="98"/>
      <c r="B75" s="99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153"/>
    </row>
    <row r="76" spans="1:15" ht="12" customHeight="1" x14ac:dyDescent="0.25">
      <c r="A76" s="98"/>
      <c r="B76" s="99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153"/>
    </row>
    <row r="77" spans="1:15" ht="12" customHeight="1" x14ac:dyDescent="0.25">
      <c r="A77" s="98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153"/>
    </row>
    <row r="78" spans="1:15" ht="12" customHeight="1" x14ac:dyDescent="0.25">
      <c r="A78" s="98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153"/>
    </row>
    <row r="79" spans="1:15" ht="12" customHeight="1" x14ac:dyDescent="0.25">
      <c r="A79" s="98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153"/>
    </row>
    <row r="80" spans="1:15" ht="12" customHeight="1" x14ac:dyDescent="0.25">
      <c r="A80" s="98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153"/>
    </row>
    <row r="81" spans="1:15" ht="12" customHeight="1" x14ac:dyDescent="0.25">
      <c r="A81" s="100" t="s">
        <v>218</v>
      </c>
      <c r="B81" s="101"/>
      <c r="C81" s="102"/>
      <c r="D81" s="22">
        <v>0</v>
      </c>
      <c r="E81" s="22">
        <v>1</v>
      </c>
      <c r="F81" s="22">
        <v>2</v>
      </c>
      <c r="G81" s="22">
        <v>3</v>
      </c>
      <c r="H81" s="22">
        <v>4</v>
      </c>
      <c r="I81" s="22">
        <v>5</v>
      </c>
      <c r="J81" s="22">
        <v>6</v>
      </c>
      <c r="K81" s="22">
        <v>7</v>
      </c>
      <c r="L81" s="22">
        <v>8</v>
      </c>
      <c r="M81" s="91">
        <v>9</v>
      </c>
      <c r="N81" s="91">
        <v>10</v>
      </c>
      <c r="O81" s="16">
        <v>11</v>
      </c>
    </row>
    <row r="82" spans="1:15" ht="12" customHeight="1" x14ac:dyDescent="0.25">
      <c r="A82" s="100" t="s">
        <v>219</v>
      </c>
      <c r="B82" s="101"/>
      <c r="C82" s="102"/>
      <c r="D82" s="20">
        <f ca="1">TODAY()</f>
        <v>45189</v>
      </c>
      <c r="E82" s="92"/>
      <c r="F82" s="22"/>
      <c r="G82" s="22"/>
      <c r="H82" s="22"/>
      <c r="I82" s="22"/>
      <c r="J82" s="22"/>
      <c r="K82" s="22"/>
      <c r="L82" s="22"/>
      <c r="M82" s="91"/>
      <c r="N82" s="91"/>
      <c r="O82" s="16"/>
    </row>
    <row r="83" spans="1:15" ht="12" customHeight="1" x14ac:dyDescent="0.25">
      <c r="A83" s="100" t="s">
        <v>220</v>
      </c>
      <c r="B83" s="101"/>
      <c r="C83" s="102"/>
      <c r="D83" s="22">
        <f>Config!D2</f>
        <v>0</v>
      </c>
      <c r="E83" s="20"/>
      <c r="F83" s="15"/>
      <c r="G83" s="15"/>
      <c r="H83" s="15"/>
      <c r="I83" s="15"/>
      <c r="J83" s="15"/>
      <c r="K83" s="15"/>
      <c r="L83" s="15"/>
      <c r="M83" s="93"/>
      <c r="N83" s="93"/>
      <c r="O83" s="17"/>
    </row>
    <row r="84" spans="1:15" ht="12" customHeight="1" x14ac:dyDescent="0.25">
      <c r="A84" s="100" t="s">
        <v>221</v>
      </c>
      <c r="B84" s="101"/>
      <c r="C84" s="102"/>
      <c r="D84" s="20" t="s">
        <v>193</v>
      </c>
      <c r="E84" s="20"/>
      <c r="F84" s="15"/>
      <c r="G84" s="15"/>
      <c r="H84" s="15"/>
      <c r="I84" s="15"/>
      <c r="J84" s="15"/>
      <c r="K84" s="15"/>
      <c r="L84" s="15"/>
      <c r="M84" s="93"/>
      <c r="N84" s="93"/>
      <c r="O84" s="17"/>
    </row>
    <row r="85" spans="1:15" ht="12" customHeight="1" thickBot="1" x14ac:dyDescent="0.3">
      <c r="A85" s="103" t="s">
        <v>222</v>
      </c>
      <c r="B85" s="104"/>
      <c r="C85" s="105"/>
      <c r="D85" s="26" t="s">
        <v>209</v>
      </c>
      <c r="E85" s="26"/>
      <c r="F85" s="18"/>
      <c r="G85" s="18"/>
      <c r="H85" s="18"/>
      <c r="I85" s="18"/>
      <c r="J85" s="18"/>
      <c r="K85" s="18"/>
      <c r="L85" s="18"/>
      <c r="M85" s="94"/>
      <c r="N85" s="94"/>
      <c r="O85" s="19"/>
    </row>
  </sheetData>
  <mergeCells count="120">
    <mergeCell ref="O79:O80"/>
    <mergeCell ref="A25:A26"/>
    <mergeCell ref="B25:N26"/>
    <mergeCell ref="O25:O26"/>
    <mergeCell ref="A27:A28"/>
    <mergeCell ref="B27:N28"/>
    <mergeCell ref="O27:O28"/>
    <mergeCell ref="A29:A30"/>
    <mergeCell ref="B29:N30"/>
    <mergeCell ref="O29:O30"/>
    <mergeCell ref="A31:A32"/>
    <mergeCell ref="B31:N32"/>
    <mergeCell ref="O31:O32"/>
    <mergeCell ref="A33:A34"/>
    <mergeCell ref="B33:N34"/>
    <mergeCell ref="O73:O74"/>
    <mergeCell ref="B75:N76"/>
    <mergeCell ref="O75:O76"/>
    <mergeCell ref="A77:A78"/>
    <mergeCell ref="B77:N78"/>
    <mergeCell ref="O77:O78"/>
    <mergeCell ref="A69:A70"/>
    <mergeCell ref="B69:N70"/>
    <mergeCell ref="O69:O70"/>
    <mergeCell ref="B71:N72"/>
    <mergeCell ref="O71:O72"/>
    <mergeCell ref="A65:A66"/>
    <mergeCell ref="B65:N66"/>
    <mergeCell ref="O65:O66"/>
    <mergeCell ref="A67:A68"/>
    <mergeCell ref="B67:N68"/>
    <mergeCell ref="O67:O68"/>
    <mergeCell ref="A61:A62"/>
    <mergeCell ref="B61:N62"/>
    <mergeCell ref="O61:O62"/>
    <mergeCell ref="A63:A64"/>
    <mergeCell ref="B63:N64"/>
    <mergeCell ref="O63:O64"/>
    <mergeCell ref="A71:A72"/>
    <mergeCell ref="B21:N22"/>
    <mergeCell ref="O21:O22"/>
    <mergeCell ref="A57:A58"/>
    <mergeCell ref="B57:N58"/>
    <mergeCell ref="O57:O58"/>
    <mergeCell ref="B59:N60"/>
    <mergeCell ref="O59:O60"/>
    <mergeCell ref="A53:A54"/>
    <mergeCell ref="B53:N54"/>
    <mergeCell ref="O53:O54"/>
    <mergeCell ref="A55:A56"/>
    <mergeCell ref="B55:N56"/>
    <mergeCell ref="O55:O56"/>
    <mergeCell ref="A59:A60"/>
    <mergeCell ref="A37:A38"/>
    <mergeCell ref="B37:N38"/>
    <mergeCell ref="O37:O38"/>
    <mergeCell ref="A39:A40"/>
    <mergeCell ref="B39:N40"/>
    <mergeCell ref="O39:O40"/>
    <mergeCell ref="A41:A42"/>
    <mergeCell ref="B41:N42"/>
    <mergeCell ref="O41:O42"/>
    <mergeCell ref="U12:U19"/>
    <mergeCell ref="A11:O12"/>
    <mergeCell ref="A13:A14"/>
    <mergeCell ref="B13:O14"/>
    <mergeCell ref="A49:A50"/>
    <mergeCell ref="A15:A16"/>
    <mergeCell ref="B15:N16"/>
    <mergeCell ref="O15:O16"/>
    <mergeCell ref="A17:A18"/>
    <mergeCell ref="B17:N18"/>
    <mergeCell ref="O17:O18"/>
    <mergeCell ref="A47:A48"/>
    <mergeCell ref="B47:N48"/>
    <mergeCell ref="O47:O48"/>
    <mergeCell ref="A23:A24"/>
    <mergeCell ref="B23:N24"/>
    <mergeCell ref="O23:O24"/>
    <mergeCell ref="O33:O34"/>
    <mergeCell ref="A35:A36"/>
    <mergeCell ref="B35:N36"/>
    <mergeCell ref="O35:O36"/>
    <mergeCell ref="A19:A20"/>
    <mergeCell ref="B19:N20"/>
    <mergeCell ref="O19:O20"/>
    <mergeCell ref="A51:O52"/>
    <mergeCell ref="A1:C4"/>
    <mergeCell ref="D1:H2"/>
    <mergeCell ref="I1:I2"/>
    <mergeCell ref="J1:O2"/>
    <mergeCell ref="D3:D4"/>
    <mergeCell ref="E3:O4"/>
    <mergeCell ref="E5:O6"/>
    <mergeCell ref="D7:D8"/>
    <mergeCell ref="E7:O8"/>
    <mergeCell ref="A9:C10"/>
    <mergeCell ref="D9:D10"/>
    <mergeCell ref="E9:O10"/>
    <mergeCell ref="A5:C8"/>
    <mergeCell ref="D5:D6"/>
    <mergeCell ref="B49:N50"/>
    <mergeCell ref="O49:O50"/>
    <mergeCell ref="A45:A46"/>
    <mergeCell ref="B45:N46"/>
    <mergeCell ref="O45:O46"/>
    <mergeCell ref="A43:A44"/>
    <mergeCell ref="B43:N44"/>
    <mergeCell ref="O43:O44"/>
    <mergeCell ref="A21:A22"/>
    <mergeCell ref="A75:A76"/>
    <mergeCell ref="A73:A74"/>
    <mergeCell ref="B73:N74"/>
    <mergeCell ref="A79:A80"/>
    <mergeCell ref="B79:N80"/>
    <mergeCell ref="A84:C84"/>
    <mergeCell ref="A85:C85"/>
    <mergeCell ref="A81:C81"/>
    <mergeCell ref="A82:C82"/>
    <mergeCell ref="A83:C8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6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A742-FE91-4737-9372-421CF1A3BA63}">
  <sheetPr codeName="Planilha3">
    <pageSetUpPr fitToPage="1"/>
  </sheetPr>
  <dimension ref="A1:V72"/>
  <sheetViews>
    <sheetView showGridLines="0" tabSelected="1" view="pageBreakPreview" zoomScaleNormal="100" zoomScaleSheetLayoutView="100" workbookViewId="0">
      <selection activeCell="D13" sqref="D13:I13"/>
    </sheetView>
  </sheetViews>
  <sheetFormatPr defaultColWidth="8.109375" defaultRowHeight="12" customHeight="1" x14ac:dyDescent="0.25"/>
  <cols>
    <col min="1" max="16384" width="8.109375" style="1"/>
  </cols>
  <sheetData>
    <row r="1" spans="1:22" ht="15" customHeight="1" x14ac:dyDescent="0.25">
      <c r="A1" s="112" t="e" vm="1">
        <f>_xlfn.IMAGE(TDados[logoCliente])</f>
        <v>#VALUE!</v>
      </c>
      <c r="B1" s="113"/>
      <c r="C1" s="256"/>
      <c r="D1" s="113" t="e" vm="1">
        <f t="shared" ref="D1:F3" si="0">_xlfn.IMAGE("https://technikgrupo.sharepoint.com/sites/transfer/Logos/Technik.png")</f>
        <v>#VALUE!</v>
      </c>
      <c r="E1" s="113"/>
      <c r="F1" s="261"/>
      <c r="G1" s="265" t="s">
        <v>0</v>
      </c>
      <c r="H1" s="266"/>
      <c r="I1" s="266"/>
      <c r="J1" s="266"/>
      <c r="K1" s="269" t="s">
        <v>210</v>
      </c>
      <c r="L1" s="271" t="str">
        <f>"FD-"&amp;Config!D2&amp;"-"&amp;Config!F2&amp;"-001"</f>
        <v>FD---001</v>
      </c>
      <c r="M1" s="272"/>
      <c r="N1" s="272"/>
      <c r="O1" s="273"/>
    </row>
    <row r="2" spans="1:22" ht="15" customHeight="1" x14ac:dyDescent="0.25">
      <c r="A2" s="114"/>
      <c r="B2" s="115"/>
      <c r="C2" s="257"/>
      <c r="D2" s="115"/>
      <c r="E2" s="115"/>
      <c r="F2" s="262"/>
      <c r="G2" s="267"/>
      <c r="H2" s="268"/>
      <c r="I2" s="268"/>
      <c r="J2" s="268"/>
      <c r="K2" s="270"/>
      <c r="L2" s="274"/>
      <c r="M2" s="275"/>
      <c r="N2" s="275"/>
      <c r="O2" s="276"/>
    </row>
    <row r="3" spans="1:22" ht="15" customHeight="1" x14ac:dyDescent="0.25">
      <c r="A3" s="258"/>
      <c r="B3" s="259"/>
      <c r="C3" s="260"/>
      <c r="D3" s="263"/>
      <c r="E3" s="263"/>
      <c r="F3" s="264"/>
      <c r="G3" s="96" t="s">
        <v>2</v>
      </c>
      <c r="H3" s="277">
        <f>Config!C2</f>
        <v>0</v>
      </c>
      <c r="I3" s="277"/>
      <c r="J3" s="277"/>
      <c r="K3" s="277"/>
      <c r="L3" s="277"/>
      <c r="M3" s="277"/>
      <c r="N3" s="277"/>
      <c r="O3" s="278"/>
      <c r="Q3"/>
      <c r="R3"/>
      <c r="S3"/>
      <c r="T3"/>
      <c r="U3"/>
      <c r="V3"/>
    </row>
    <row r="4" spans="1:22" ht="15" customHeight="1" x14ac:dyDescent="0.25">
      <c r="A4" s="286" t="s">
        <v>57</v>
      </c>
      <c r="B4" s="287"/>
      <c r="C4" s="287"/>
      <c r="D4" s="288"/>
      <c r="E4" s="288"/>
      <c r="F4" s="288"/>
      <c r="G4" s="97" t="s">
        <v>6</v>
      </c>
      <c r="H4" s="277">
        <f>Config!E2</f>
        <v>0</v>
      </c>
      <c r="I4" s="277"/>
      <c r="J4" s="277"/>
      <c r="K4" s="277"/>
      <c r="L4" s="277"/>
      <c r="M4" s="277"/>
      <c r="N4" s="277"/>
      <c r="O4" s="278"/>
      <c r="Q4"/>
      <c r="R4"/>
      <c r="S4"/>
      <c r="T4"/>
      <c r="U4"/>
      <c r="V4"/>
    </row>
    <row r="5" spans="1:22" ht="12.6" customHeight="1" x14ac:dyDescent="0.25">
      <c r="A5" s="169"/>
      <c r="B5" s="170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1"/>
      <c r="Q5"/>
      <c r="R5"/>
      <c r="S5"/>
      <c r="T5"/>
      <c r="U5"/>
      <c r="V5"/>
    </row>
    <row r="6" spans="1:22" ht="11.2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/>
      <c r="H6" s="101"/>
      <c r="I6" s="101"/>
      <c r="J6" s="101"/>
      <c r="K6" s="101"/>
      <c r="L6" s="101"/>
      <c r="M6" s="101"/>
      <c r="N6" s="101"/>
      <c r="O6" s="244"/>
      <c r="Q6"/>
      <c r="R6"/>
      <c r="S6"/>
      <c r="T6"/>
      <c r="U6"/>
      <c r="V6"/>
    </row>
    <row r="7" spans="1:22" ht="11.25" customHeight="1" x14ac:dyDescent="0.25">
      <c r="A7" s="290"/>
      <c r="B7" s="291"/>
      <c r="C7" s="295"/>
      <c r="D7" s="242" t="s">
        <v>17</v>
      </c>
      <c r="E7" s="242"/>
      <c r="F7" s="242"/>
      <c r="G7" s="297"/>
      <c r="H7" s="101"/>
      <c r="I7" s="101"/>
      <c r="J7" s="101"/>
      <c r="K7" s="101"/>
      <c r="L7" s="101"/>
      <c r="M7" s="101"/>
      <c r="N7" s="101"/>
      <c r="O7" s="244"/>
      <c r="Q7"/>
      <c r="R7"/>
      <c r="S7"/>
      <c r="T7"/>
      <c r="U7"/>
      <c r="V7"/>
    </row>
    <row r="8" spans="1:22" ht="11.25" customHeight="1" x14ac:dyDescent="0.25">
      <c r="A8" s="290"/>
      <c r="B8" s="291"/>
      <c r="C8" s="295"/>
      <c r="D8" s="242" t="s">
        <v>60</v>
      </c>
      <c r="E8" s="242"/>
      <c r="F8" s="242"/>
      <c r="G8" s="243"/>
      <c r="H8" s="101"/>
      <c r="I8" s="101"/>
      <c r="J8" s="101"/>
      <c r="K8" s="101"/>
      <c r="L8" s="101"/>
      <c r="M8" s="101"/>
      <c r="N8" s="101"/>
      <c r="O8" s="244"/>
      <c r="Q8"/>
      <c r="R8"/>
      <c r="S8"/>
      <c r="T8"/>
      <c r="U8"/>
      <c r="V8"/>
    </row>
    <row r="9" spans="1:22" ht="11.25" customHeight="1" x14ac:dyDescent="0.25">
      <c r="A9" s="290"/>
      <c r="B9" s="291"/>
      <c r="C9" s="295"/>
      <c r="D9" s="242" t="s">
        <v>19</v>
      </c>
      <c r="E9" s="242"/>
      <c r="F9" s="242"/>
      <c r="G9" s="243"/>
      <c r="H9" s="101"/>
      <c r="I9" s="101"/>
      <c r="J9" s="101"/>
      <c r="K9" s="101"/>
      <c r="L9" s="101"/>
      <c r="M9" s="101"/>
      <c r="N9" s="101"/>
      <c r="O9" s="244"/>
      <c r="Q9"/>
      <c r="R9"/>
      <c r="S9"/>
      <c r="T9"/>
      <c r="U9"/>
      <c r="V9"/>
    </row>
    <row r="10" spans="1:22" ht="13.5" customHeight="1" x14ac:dyDescent="0.25">
      <c r="A10" s="292"/>
      <c r="B10" s="293"/>
      <c r="C10" s="296"/>
      <c r="D10" s="242" t="s">
        <v>61</v>
      </c>
      <c r="E10" s="242"/>
      <c r="F10" s="242"/>
      <c r="G10" s="243"/>
      <c r="H10" s="101"/>
      <c r="I10" s="101"/>
      <c r="J10" s="101"/>
      <c r="K10" s="101"/>
      <c r="L10" s="101"/>
      <c r="M10" s="101"/>
      <c r="N10" s="101"/>
      <c r="O10" s="244"/>
      <c r="Q10"/>
      <c r="R10"/>
      <c r="S10"/>
      <c r="T10"/>
      <c r="U10"/>
      <c r="V10"/>
    </row>
    <row r="11" spans="1:22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/>
      <c r="K11" s="280"/>
      <c r="L11" s="280"/>
      <c r="M11" s="280"/>
      <c r="N11" s="280"/>
      <c r="O11" s="281"/>
      <c r="Q11"/>
      <c r="R11"/>
      <c r="S11"/>
      <c r="T11"/>
      <c r="U11"/>
      <c r="V11"/>
    </row>
    <row r="12" spans="1:22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/>
      <c r="K12" s="117"/>
      <c r="L12" s="117"/>
      <c r="M12" s="117"/>
      <c r="N12" s="117"/>
      <c r="O12" s="285"/>
      <c r="Q12"/>
      <c r="R12"/>
      <c r="S12"/>
      <c r="U12" s="154"/>
    </row>
    <row r="13" spans="1:22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/>
      <c r="K13" s="117"/>
      <c r="L13" s="117"/>
      <c r="M13" s="117"/>
      <c r="N13" s="117"/>
      <c r="O13" s="285"/>
      <c r="Q13"/>
      <c r="R13"/>
      <c r="S13"/>
      <c r="U13" s="154"/>
    </row>
    <row r="14" spans="1:22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/>
      <c r="K14" s="202"/>
      <c r="L14" s="202"/>
      <c r="M14" s="202"/>
      <c r="N14" s="202"/>
      <c r="O14" s="203"/>
      <c r="Q14"/>
      <c r="R14"/>
      <c r="S14"/>
      <c r="U14" s="154"/>
    </row>
    <row r="15" spans="1:22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/>
      <c r="K15" s="202"/>
      <c r="L15" s="202"/>
      <c r="M15" s="202"/>
      <c r="N15" s="202"/>
      <c r="O15" s="203"/>
      <c r="Q15"/>
      <c r="R15"/>
      <c r="S15"/>
      <c r="U15" s="154"/>
    </row>
    <row r="16" spans="1:22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/>
      <c r="K16" s="205"/>
      <c r="L16" s="205"/>
      <c r="M16" s="205"/>
      <c r="N16" s="205"/>
      <c r="O16" s="206"/>
      <c r="Q16"/>
      <c r="R16"/>
      <c r="S16"/>
      <c r="U16" s="154"/>
    </row>
    <row r="17" spans="1:21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/>
      <c r="K17" s="202"/>
      <c r="L17" s="207"/>
      <c r="M17" s="213"/>
      <c r="N17" s="202"/>
      <c r="O17" s="203"/>
      <c r="Q17"/>
      <c r="R17"/>
      <c r="S17"/>
      <c r="U17" s="154"/>
    </row>
    <row r="18" spans="1:21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/>
      <c r="K18" s="251"/>
      <c r="L18" s="251"/>
      <c r="M18" s="251"/>
      <c r="N18" s="251"/>
      <c r="O18" s="252"/>
      <c r="Q18"/>
      <c r="R18"/>
      <c r="S18"/>
      <c r="U18" s="154"/>
    </row>
    <row r="19" spans="1:21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/>
      <c r="K19" s="215"/>
      <c r="L19" s="216"/>
      <c r="M19" s="245"/>
      <c r="N19" s="215"/>
      <c r="O19" s="217"/>
      <c r="Q19"/>
      <c r="R19"/>
      <c r="S19"/>
      <c r="U19" s="154"/>
    </row>
    <row r="20" spans="1:21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/>
      <c r="K20" s="247"/>
      <c r="L20" s="248"/>
      <c r="M20" s="246"/>
      <c r="N20" s="247"/>
      <c r="O20" s="249"/>
    </row>
    <row r="21" spans="1:21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/>
      <c r="K21" s="215"/>
      <c r="L21" s="215"/>
      <c r="M21" s="215"/>
      <c r="N21" s="215"/>
      <c r="O21" s="217"/>
    </row>
    <row r="22" spans="1:21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/>
      <c r="K22" s="215"/>
      <c r="L22" s="216"/>
      <c r="M22" s="214"/>
      <c r="N22" s="215"/>
      <c r="O22" s="217"/>
    </row>
    <row r="23" spans="1:21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/>
      <c r="K23" s="215"/>
      <c r="L23" s="215"/>
      <c r="M23" s="215"/>
      <c r="N23" s="215"/>
      <c r="O23" s="217"/>
    </row>
    <row r="24" spans="1:21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/>
      <c r="K24" s="221"/>
      <c r="L24" s="221"/>
      <c r="M24" s="221"/>
      <c r="N24" s="221"/>
      <c r="O24" s="222"/>
    </row>
    <row r="25" spans="1:21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/>
      <c r="K25" s="223"/>
      <c r="L25" s="223"/>
      <c r="M25" s="223"/>
      <c r="N25" s="223"/>
      <c r="O25" s="224"/>
    </row>
    <row r="26" spans="1:21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/>
      <c r="K26" s="219"/>
      <c r="L26" s="219"/>
      <c r="M26" s="205"/>
      <c r="N26" s="205"/>
      <c r="O26" s="206"/>
    </row>
    <row r="27" spans="1:21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225"/>
      <c r="K27" s="226"/>
      <c r="L27" s="227"/>
      <c r="M27" s="228"/>
      <c r="N27" s="229"/>
      <c r="O27" s="230"/>
    </row>
    <row r="28" spans="1:21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/>
      <c r="K28" s="232"/>
      <c r="L28" s="233"/>
      <c r="M28" s="234"/>
      <c r="N28" s="235"/>
      <c r="O28" s="236"/>
    </row>
    <row r="29" spans="1:21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/>
      <c r="K29" s="238"/>
      <c r="L29" s="239"/>
      <c r="M29" s="213"/>
      <c r="N29" s="202"/>
      <c r="O29" s="203"/>
    </row>
    <row r="30" spans="1:21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10"/>
      <c r="K30" s="240"/>
      <c r="L30" s="241"/>
      <c r="M30" s="210"/>
      <c r="N30" s="205"/>
      <c r="O30" s="206"/>
    </row>
    <row r="31" spans="1:21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/>
      <c r="K31" s="208"/>
      <c r="L31" s="208"/>
      <c r="M31" s="208"/>
      <c r="N31" s="208"/>
      <c r="O31" s="209"/>
    </row>
    <row r="32" spans="1:21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/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/>
      <c r="K33" s="208"/>
      <c r="L33" s="211"/>
      <c r="M33" s="195"/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/>
      <c r="K34" s="202"/>
      <c r="L34" s="207"/>
      <c r="M34" s="201"/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/>
      <c r="K35" s="202"/>
      <c r="L35" s="207"/>
      <c r="M35" s="201"/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/>
      <c r="K36" s="202"/>
      <c r="L36" s="207"/>
      <c r="M36" s="201"/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/>
      <c r="K37" s="205"/>
      <c r="L37" s="212"/>
      <c r="M37" s="204"/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/>
      <c r="K38" s="202"/>
      <c r="L38" s="207"/>
      <c r="M38" s="195"/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/>
      <c r="K39" s="202"/>
      <c r="L39" s="207"/>
      <c r="M39" s="201"/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/>
      <c r="K40" s="202"/>
      <c r="L40" s="207"/>
      <c r="M40" s="201"/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/>
      <c r="K41" s="202"/>
      <c r="L41" s="207"/>
      <c r="M41" s="201"/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/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/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/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/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/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172"/>
      <c r="K47" s="173"/>
      <c r="L47" s="173"/>
      <c r="M47" s="173"/>
      <c r="N47" s="173"/>
      <c r="O47" s="174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/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/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/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/>
      <c r="K51" s="179"/>
      <c r="L51" s="179"/>
      <c r="M51" s="179"/>
      <c r="N51" s="179"/>
      <c r="O51" s="180"/>
    </row>
    <row r="52" spans="1:17" ht="12.75" customHeight="1" x14ac:dyDescent="0.25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3"/>
    </row>
    <row r="53" spans="1:17" ht="12.75" customHeight="1" x14ac:dyDescent="0.25">
      <c r="A53" s="11" t="s">
        <v>174</v>
      </c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84"/>
    </row>
    <row r="54" spans="1:17" ht="12.75" customHeight="1" x14ac:dyDescent="0.25">
      <c r="A54" s="18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84"/>
      <c r="Q54" s="4"/>
    </row>
    <row r="55" spans="1:17" ht="12.75" customHeight="1" x14ac:dyDescent="0.25">
      <c r="A55" s="18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84"/>
      <c r="Q55" s="4"/>
    </row>
    <row r="56" spans="1:17" ht="12.75" customHeight="1" x14ac:dyDescent="0.25">
      <c r="A56" s="18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84"/>
      <c r="Q56" s="4"/>
    </row>
    <row r="57" spans="1:17" ht="12.75" customHeight="1" x14ac:dyDescent="0.25">
      <c r="A57" s="18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84"/>
      <c r="Q57" s="4"/>
    </row>
    <row r="58" spans="1:17" ht="12.75" customHeight="1" x14ac:dyDescent="0.25">
      <c r="A58" s="18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84"/>
      <c r="Q58" s="4"/>
    </row>
    <row r="59" spans="1:17" ht="12.75" customHeight="1" x14ac:dyDescent="0.25">
      <c r="A59" s="18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84"/>
      <c r="Q59" s="4"/>
    </row>
    <row r="60" spans="1:17" ht="12.75" customHeight="1" x14ac:dyDescent="0.25">
      <c r="A60" s="18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84"/>
      <c r="Q60" s="4"/>
    </row>
    <row r="61" spans="1:17" ht="12.75" customHeight="1" x14ac:dyDescent="0.25">
      <c r="A61" s="18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84"/>
    </row>
    <row r="62" spans="1:17" ht="12.75" customHeight="1" x14ac:dyDescent="0.25">
      <c r="A62" s="18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84"/>
    </row>
    <row r="63" spans="1:17" ht="12.75" customHeight="1" x14ac:dyDescent="0.25">
      <c r="A63" s="18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84"/>
    </row>
    <row r="64" spans="1:17" ht="12" customHeight="1" x14ac:dyDescent="0.25">
      <c r="A64" s="9"/>
      <c r="O64" s="10"/>
    </row>
    <row r="65" spans="1:15" ht="12" customHeight="1" x14ac:dyDescent="0.25">
      <c r="A65" s="9"/>
      <c r="O65" s="10"/>
    </row>
    <row r="66" spans="1:15" ht="12" customHeight="1" x14ac:dyDescent="0.25">
      <c r="A66" s="9"/>
      <c r="O66" s="10"/>
    </row>
    <row r="67" spans="1:15" ht="12" customHeight="1" x14ac:dyDescent="0.25">
      <c r="A67" s="9"/>
      <c r="O67" s="10"/>
    </row>
    <row r="68" spans="1:15" ht="12" customHeight="1" x14ac:dyDescent="0.25">
      <c r="A68" s="9"/>
      <c r="O68" s="10"/>
    </row>
    <row r="69" spans="1:15" ht="12" customHeight="1" x14ac:dyDescent="0.25">
      <c r="A69" s="9"/>
      <c r="O69" s="10"/>
    </row>
    <row r="70" spans="1:15" ht="12" customHeight="1" x14ac:dyDescent="0.25">
      <c r="A70" s="9"/>
      <c r="O70" s="10"/>
    </row>
    <row r="71" spans="1:15" ht="12" customHeight="1" x14ac:dyDescent="0.25">
      <c r="A71" s="9"/>
      <c r="O71" s="10"/>
    </row>
    <row r="72" spans="1:15" ht="12" customHeight="1" thickBot="1" x14ac:dyDescent="0.3">
      <c r="A72" s="12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4"/>
    </row>
  </sheetData>
  <mergeCells count="155">
    <mergeCell ref="A1:C3"/>
    <mergeCell ref="D1:F3"/>
    <mergeCell ref="G1:J2"/>
    <mergeCell ref="K1:K2"/>
    <mergeCell ref="L1:O2"/>
    <mergeCell ref="H3:O3"/>
    <mergeCell ref="H4:O4"/>
    <mergeCell ref="A11:B16"/>
    <mergeCell ref="D11:I11"/>
    <mergeCell ref="J11:O11"/>
    <mergeCell ref="D12:I12"/>
    <mergeCell ref="J12:O12"/>
    <mergeCell ref="D13:I13"/>
    <mergeCell ref="A4:F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J23:O23"/>
    <mergeCell ref="D24:I24"/>
    <mergeCell ref="J24:O24"/>
    <mergeCell ref="D25:I25"/>
    <mergeCell ref="J25:O25"/>
    <mergeCell ref="D21:G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D37:F37"/>
    <mergeCell ref="G37:I37"/>
    <mergeCell ref="J37:L37"/>
    <mergeCell ref="M37:O37"/>
    <mergeCell ref="D41:F41"/>
    <mergeCell ref="A38:B45"/>
    <mergeCell ref="D38:F38"/>
    <mergeCell ref="G38:I38"/>
    <mergeCell ref="J38:L38"/>
    <mergeCell ref="M38:O38"/>
    <mergeCell ref="D39:F39"/>
    <mergeCell ref="G41:I41"/>
    <mergeCell ref="J41:L41"/>
    <mergeCell ref="M41:O41"/>
    <mergeCell ref="D42:I42"/>
    <mergeCell ref="J42:O42"/>
    <mergeCell ref="G39:I39"/>
    <mergeCell ref="J39:L39"/>
    <mergeCell ref="M39:O39"/>
    <mergeCell ref="D40:F40"/>
    <mergeCell ref="G40:I40"/>
    <mergeCell ref="J40:L40"/>
    <mergeCell ref="M40:O40"/>
    <mergeCell ref="U12:U19"/>
    <mergeCell ref="A5:O5"/>
    <mergeCell ref="J50:O50"/>
    <mergeCell ref="D51:I51"/>
    <mergeCell ref="J51:O51"/>
    <mergeCell ref="A52:O52"/>
    <mergeCell ref="B53:O63"/>
    <mergeCell ref="A54:A63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AK16"/>
  <sheetViews>
    <sheetView showGridLines="0" zoomScale="85" zoomScaleNormal="85" workbookViewId="0">
      <pane xSplit="5" ySplit="6" topLeftCell="P7" activePane="bottomRight" state="frozen"/>
      <selection activeCell="L1" sqref="L1:O2"/>
      <selection pane="topRight" activeCell="L1" sqref="L1:O2"/>
      <selection pane="bottomLeft" activeCell="L1" sqref="L1:O2"/>
      <selection pane="bottomRight" activeCell="D8" sqref="D8"/>
    </sheetView>
  </sheetViews>
  <sheetFormatPr defaultColWidth="9.21875" defaultRowHeight="10.199999999999999" x14ac:dyDescent="0.25"/>
  <cols>
    <col min="1" max="1" width="9.44140625" style="27" customWidth="1"/>
    <col min="2" max="2" width="20.77734375" style="27" customWidth="1"/>
    <col min="3" max="3" width="13.44140625" style="27" customWidth="1"/>
    <col min="4" max="4" width="23.21875" style="27" customWidth="1"/>
    <col min="5" max="6" width="12.21875" style="27" customWidth="1"/>
    <col min="7" max="7" width="20.77734375" style="27" customWidth="1"/>
    <col min="8" max="8" width="12.21875" style="27" customWidth="1"/>
    <col min="9" max="9" width="15.21875" style="27" customWidth="1"/>
    <col min="10" max="10" width="13.77734375" style="27" customWidth="1"/>
    <col min="11" max="11" width="9.44140625" style="27" hidden="1" customWidth="1"/>
    <col min="12" max="12" width="14" style="27" hidden="1" customWidth="1"/>
    <col min="13" max="13" width="13.44140625" style="27" hidden="1" customWidth="1"/>
    <col min="14" max="14" width="18.5546875" style="27" customWidth="1"/>
    <col min="15" max="15" width="24.77734375" style="49" customWidth="1"/>
    <col min="16" max="16" width="12.5546875" style="27" customWidth="1"/>
    <col min="17" max="17" width="11.44140625" style="27" customWidth="1"/>
    <col min="18" max="18" width="13.5546875" style="27" customWidth="1"/>
    <col min="19" max="19" width="12.44140625" style="27" customWidth="1"/>
    <col min="20" max="20" width="14.77734375" style="27" customWidth="1"/>
    <col min="21" max="21" width="15.77734375" style="27" customWidth="1"/>
    <col min="22" max="22" width="10.77734375" style="27" customWidth="1"/>
    <col min="23" max="23" width="12.44140625" style="27" customWidth="1"/>
    <col min="24" max="24" width="13.21875" style="27" customWidth="1"/>
    <col min="25" max="25" width="8" style="27" customWidth="1"/>
    <col min="26" max="26" width="42.5546875" style="27" customWidth="1"/>
    <col min="27" max="27" width="16.44140625" style="27" customWidth="1"/>
    <col min="28" max="28" width="16.44140625" style="49" customWidth="1"/>
    <col min="29" max="29" width="12.5546875" style="27" customWidth="1"/>
    <col min="30" max="30" width="11.77734375" style="27" customWidth="1"/>
    <col min="31" max="31" width="11" style="27" customWidth="1"/>
    <col min="32" max="32" width="10.21875" style="27" customWidth="1"/>
    <col min="33" max="33" width="12" style="27" customWidth="1"/>
    <col min="34" max="34" width="56.44140625" style="27" customWidth="1"/>
    <col min="35" max="35" width="52.21875" style="27" bestFit="1" customWidth="1"/>
    <col min="36" max="36" width="20.77734375" style="27" bestFit="1" customWidth="1"/>
    <col min="37" max="37" width="16.5546875" style="27" bestFit="1" customWidth="1"/>
    <col min="38" max="16384" width="9.21875" style="27"/>
  </cols>
  <sheetData>
    <row r="1" spans="1:37" ht="10.8" thickBot="1" x14ac:dyDescent="0.3"/>
    <row r="2" spans="1:37" x14ac:dyDescent="0.25">
      <c r="A2" s="28"/>
      <c r="B2" s="29"/>
      <c r="C2" s="29"/>
      <c r="D2" s="30"/>
      <c r="E2" s="63"/>
      <c r="F2" s="298" t="s">
        <v>13</v>
      </c>
      <c r="G2" s="299"/>
      <c r="H2" s="300"/>
      <c r="I2" s="300"/>
      <c r="J2" s="300"/>
      <c r="K2" s="300"/>
      <c r="L2" s="301"/>
      <c r="M2" s="60"/>
      <c r="N2" s="300" t="s">
        <v>14</v>
      </c>
      <c r="O2" s="306"/>
      <c r="P2" s="300"/>
      <c r="Q2" s="300"/>
      <c r="R2" s="300"/>
      <c r="S2" s="300"/>
      <c r="T2" s="300"/>
      <c r="U2" s="301"/>
      <c r="V2" s="298" t="s">
        <v>15</v>
      </c>
      <c r="W2" s="300"/>
      <c r="X2" s="300"/>
      <c r="Y2" s="300"/>
      <c r="Z2" s="300"/>
      <c r="AA2" s="300"/>
      <c r="AB2" s="300"/>
      <c r="AC2" s="300"/>
      <c r="AD2" s="300"/>
      <c r="AE2" s="300"/>
      <c r="AF2" s="300"/>
      <c r="AG2" s="300"/>
    </row>
    <row r="3" spans="1:37" x14ac:dyDescent="0.25">
      <c r="A3" s="31"/>
      <c r="D3" s="32"/>
      <c r="E3" s="64"/>
      <c r="F3" s="302"/>
      <c r="G3" s="303"/>
      <c r="H3" s="304"/>
      <c r="I3" s="304"/>
      <c r="J3" s="304"/>
      <c r="K3" s="304"/>
      <c r="L3" s="305"/>
      <c r="M3" s="61"/>
      <c r="N3" s="304"/>
      <c r="O3" s="307"/>
      <c r="P3" s="304"/>
      <c r="Q3" s="304"/>
      <c r="R3" s="304"/>
      <c r="S3" s="304"/>
      <c r="T3" s="304"/>
      <c r="U3" s="305"/>
      <c r="V3" s="302"/>
      <c r="W3" s="304"/>
      <c r="X3" s="304"/>
      <c r="Y3" s="304"/>
      <c r="Z3" s="304"/>
      <c r="AA3" s="304"/>
      <c r="AB3" s="304"/>
      <c r="AC3" s="304"/>
      <c r="AD3" s="304"/>
      <c r="AE3" s="304"/>
      <c r="AF3" s="304"/>
      <c r="AG3" s="304"/>
    </row>
    <row r="4" spans="1:37" x14ac:dyDescent="0.25">
      <c r="A4" s="31"/>
      <c r="D4" s="32"/>
      <c r="E4" s="64"/>
      <c r="F4" s="302"/>
      <c r="G4" s="303"/>
      <c r="H4" s="304"/>
      <c r="I4" s="304"/>
      <c r="J4" s="304"/>
      <c r="K4" s="304"/>
      <c r="L4" s="305"/>
      <c r="M4" s="61"/>
      <c r="N4" s="304"/>
      <c r="O4" s="307"/>
      <c r="P4" s="304"/>
      <c r="Q4" s="304"/>
      <c r="R4" s="304"/>
      <c r="S4" s="304"/>
      <c r="T4" s="304"/>
      <c r="U4" s="305"/>
      <c r="V4" s="302"/>
      <c r="W4" s="304"/>
      <c r="X4" s="304"/>
      <c r="Y4" s="304"/>
      <c r="Z4" s="304"/>
      <c r="AA4" s="304"/>
      <c r="AB4" s="304"/>
      <c r="AC4" s="304"/>
      <c r="AD4" s="304"/>
      <c r="AE4" s="304"/>
      <c r="AF4" s="304"/>
      <c r="AG4" s="304"/>
    </row>
    <row r="5" spans="1:37" ht="10.8" thickBot="1" x14ac:dyDescent="0.3">
      <c r="A5" s="31"/>
      <c r="D5" s="32"/>
      <c r="E5" s="64"/>
      <c r="F5" s="302"/>
      <c r="G5" s="303"/>
      <c r="H5" s="304"/>
      <c r="I5" s="304"/>
      <c r="J5" s="304"/>
      <c r="K5" s="304"/>
      <c r="L5" s="305"/>
      <c r="M5" s="61"/>
      <c r="N5" s="304"/>
      <c r="O5" s="307"/>
      <c r="P5" s="304"/>
      <c r="Q5" s="304"/>
      <c r="R5" s="304"/>
      <c r="S5" s="304"/>
      <c r="T5" s="304"/>
      <c r="U5" s="305"/>
      <c r="V5" s="302"/>
      <c r="W5" s="304"/>
      <c r="X5" s="304"/>
      <c r="Y5" s="304"/>
      <c r="Z5" s="304"/>
      <c r="AA5" s="304"/>
      <c r="AB5" s="304"/>
      <c r="AC5" s="304"/>
      <c r="AD5" s="304"/>
      <c r="AE5" s="304"/>
      <c r="AF5" s="304"/>
      <c r="AG5" s="304"/>
    </row>
    <row r="6" spans="1:37" s="35" customFormat="1" ht="39" customHeight="1" thickBot="1" x14ac:dyDescent="0.3">
      <c r="A6" s="66" t="s">
        <v>16</v>
      </c>
      <c r="B6" s="67" t="s">
        <v>17</v>
      </c>
      <c r="C6" s="68" t="s">
        <v>18</v>
      </c>
      <c r="D6" s="67" t="s">
        <v>19</v>
      </c>
      <c r="E6" s="68" t="s">
        <v>20</v>
      </c>
      <c r="F6" s="67" t="s">
        <v>21</v>
      </c>
      <c r="G6" s="67" t="s">
        <v>22</v>
      </c>
      <c r="H6" s="67" t="s">
        <v>23</v>
      </c>
      <c r="I6" s="67" t="s">
        <v>24</v>
      </c>
      <c r="J6" s="67" t="s">
        <v>25</v>
      </c>
      <c r="K6" s="69" t="s">
        <v>26</v>
      </c>
      <c r="L6" s="70" t="s">
        <v>27</v>
      </c>
      <c r="M6" s="71" t="s">
        <v>28</v>
      </c>
      <c r="N6" s="72" t="s">
        <v>29</v>
      </c>
      <c r="O6" s="73" t="s">
        <v>30</v>
      </c>
      <c r="P6" s="74" t="s">
        <v>31</v>
      </c>
      <c r="Q6" s="75" t="s">
        <v>32</v>
      </c>
      <c r="R6" s="75" t="s">
        <v>33</v>
      </c>
      <c r="S6" s="75" t="s">
        <v>34</v>
      </c>
      <c r="T6" s="75" t="s">
        <v>35</v>
      </c>
      <c r="U6" s="75" t="s">
        <v>36</v>
      </c>
      <c r="V6" s="75" t="s">
        <v>37</v>
      </c>
      <c r="W6" s="75" t="s">
        <v>12</v>
      </c>
      <c r="X6" s="75" t="s">
        <v>38</v>
      </c>
      <c r="Y6" s="76" t="s">
        <v>39</v>
      </c>
      <c r="Z6" s="72" t="s">
        <v>40</v>
      </c>
      <c r="AA6" s="77" t="s">
        <v>41</v>
      </c>
      <c r="AB6" s="68" t="s">
        <v>42</v>
      </c>
      <c r="AC6" s="68" t="s">
        <v>43</v>
      </c>
      <c r="AD6" s="68" t="s">
        <v>44</v>
      </c>
      <c r="AE6" s="68" t="s">
        <v>45</v>
      </c>
      <c r="AF6" s="68" t="s">
        <v>46</v>
      </c>
      <c r="AG6" s="78" t="s">
        <v>47</v>
      </c>
      <c r="AH6" s="62" t="s">
        <v>48</v>
      </c>
    </row>
    <row r="7" spans="1:37" s="33" customFormat="1" ht="69.75" customHeight="1" x14ac:dyDescent="0.2">
      <c r="A7" s="79">
        <v>1</v>
      </c>
      <c r="B7" s="50" t="s">
        <v>195</v>
      </c>
      <c r="C7" s="80" t="s">
        <v>197</v>
      </c>
      <c r="D7" s="84" t="s">
        <v>199</v>
      </c>
      <c r="E7" s="51" t="s">
        <v>208</v>
      </c>
      <c r="F7" s="52" t="s">
        <v>200</v>
      </c>
      <c r="G7" s="52" t="s">
        <v>194</v>
      </c>
      <c r="H7" s="51" t="s">
        <v>207</v>
      </c>
      <c r="I7" s="52" t="s">
        <v>202</v>
      </c>
      <c r="J7" s="52" t="s">
        <v>201</v>
      </c>
      <c r="K7" s="54"/>
      <c r="L7" s="54"/>
      <c r="M7" s="54"/>
      <c r="N7" s="81">
        <v>5000</v>
      </c>
      <c r="O7" s="51" t="s">
        <v>49</v>
      </c>
      <c r="P7" s="82">
        <v>4.5999999999999996</v>
      </c>
      <c r="Q7" s="82">
        <v>5.5</v>
      </c>
      <c r="R7" s="53" t="s">
        <v>203</v>
      </c>
      <c r="S7" s="53" t="s">
        <v>203</v>
      </c>
      <c r="T7" s="53">
        <v>1117</v>
      </c>
      <c r="U7" s="83" t="s">
        <v>204</v>
      </c>
      <c r="V7" s="53">
        <v>113.8</v>
      </c>
      <c r="W7" s="52"/>
      <c r="X7" s="52" t="s">
        <v>204</v>
      </c>
      <c r="Y7" s="52" t="s">
        <v>204</v>
      </c>
      <c r="Z7" s="55"/>
      <c r="AA7" s="55" t="s">
        <v>192</v>
      </c>
      <c r="AB7" s="55" t="s">
        <v>191</v>
      </c>
      <c r="AC7" s="53" t="s">
        <v>204</v>
      </c>
      <c r="AD7" s="53" t="s">
        <v>204</v>
      </c>
      <c r="AE7" s="53" t="s">
        <v>205</v>
      </c>
      <c r="AF7" s="53" t="s">
        <v>205</v>
      </c>
      <c r="AG7" s="53" t="s">
        <v>205</v>
      </c>
      <c r="AH7" s="59"/>
      <c r="AI7" s="34"/>
      <c r="AJ7" s="34"/>
      <c r="AK7" s="34"/>
    </row>
    <row r="8" spans="1:37" s="33" customFormat="1" ht="30" customHeight="1" x14ac:dyDescent="0.2">
      <c r="A8" s="79">
        <v>2</v>
      </c>
      <c r="B8" s="50" t="s">
        <v>196</v>
      </c>
      <c r="C8" s="80" t="s">
        <v>198</v>
      </c>
      <c r="D8" s="84" t="s">
        <v>199</v>
      </c>
      <c r="E8" s="51" t="s">
        <v>208</v>
      </c>
      <c r="F8" s="52" t="s">
        <v>200</v>
      </c>
      <c r="G8" s="52" t="s">
        <v>194</v>
      </c>
      <c r="H8" s="51" t="s">
        <v>207</v>
      </c>
      <c r="I8" s="52" t="s">
        <v>202</v>
      </c>
      <c r="J8" s="52" t="s">
        <v>201</v>
      </c>
      <c r="K8" s="54"/>
      <c r="L8" s="54"/>
      <c r="M8" s="54"/>
      <c r="N8" s="81">
        <v>5000</v>
      </c>
      <c r="O8" s="51" t="s">
        <v>49</v>
      </c>
      <c r="P8" s="82">
        <v>4.5999999999999996</v>
      </c>
      <c r="Q8" s="82">
        <v>5.5</v>
      </c>
      <c r="R8" s="53" t="s">
        <v>203</v>
      </c>
      <c r="S8" s="53" t="s">
        <v>203</v>
      </c>
      <c r="T8" s="53">
        <v>1117</v>
      </c>
      <c r="U8" s="83" t="s">
        <v>204</v>
      </c>
      <c r="V8" s="53">
        <v>113.8</v>
      </c>
      <c r="W8" s="52"/>
      <c r="X8" s="52" t="s">
        <v>204</v>
      </c>
      <c r="Y8" s="52" t="s">
        <v>204</v>
      </c>
      <c r="Z8" s="55"/>
      <c r="AA8" s="55" t="s">
        <v>192</v>
      </c>
      <c r="AB8" s="55" t="s">
        <v>191</v>
      </c>
      <c r="AC8" s="53" t="s">
        <v>204</v>
      </c>
      <c r="AD8" s="53" t="s">
        <v>204</v>
      </c>
      <c r="AE8" s="53" t="s">
        <v>205</v>
      </c>
      <c r="AF8" s="53" t="s">
        <v>205</v>
      </c>
      <c r="AG8" s="53" t="s">
        <v>205</v>
      </c>
      <c r="AH8" s="90"/>
      <c r="AI8" s="34"/>
      <c r="AJ8" s="34"/>
      <c r="AK8" s="34"/>
    </row>
    <row r="9" spans="1:37" s="33" customFormat="1" x14ac:dyDescent="0.25">
      <c r="G9" s="56"/>
      <c r="H9" s="57"/>
      <c r="K9" s="58"/>
      <c r="O9" s="56"/>
      <c r="AB9" s="56"/>
    </row>
    <row r="10" spans="1:37" ht="15.6" x14ac:dyDescent="0.25">
      <c r="D10" s="37" t="s">
        <v>50</v>
      </c>
      <c r="I10" s="65" t="s">
        <v>184</v>
      </c>
    </row>
    <row r="11" spans="1:37" ht="15.6" x14ac:dyDescent="0.25">
      <c r="D11" s="38" t="s">
        <v>49</v>
      </c>
      <c r="E11" s="41" t="s">
        <v>51</v>
      </c>
      <c r="F11" s="44"/>
      <c r="G11" s="36"/>
      <c r="I11" s="85" t="s">
        <v>194</v>
      </c>
      <c r="J11" s="36"/>
      <c r="K11" s="40"/>
      <c r="L11" s="40"/>
      <c r="M11" s="40"/>
      <c r="O11" s="27"/>
      <c r="Q11" s="49"/>
    </row>
    <row r="12" spans="1:37" ht="18.75" customHeight="1" x14ac:dyDescent="0.25">
      <c r="D12" s="42" t="s">
        <v>52</v>
      </c>
      <c r="E12" s="39" t="s">
        <v>53</v>
      </c>
      <c r="F12" s="40"/>
      <c r="G12" s="43"/>
      <c r="I12" s="86"/>
      <c r="J12" s="87"/>
      <c r="K12" s="39" t="s">
        <v>185</v>
      </c>
      <c r="L12" s="39" t="s">
        <v>186</v>
      </c>
      <c r="M12" s="40"/>
      <c r="O12" s="27"/>
      <c r="Q12" s="49"/>
    </row>
    <row r="13" spans="1:37" ht="21" x14ac:dyDescent="0.25">
      <c r="D13" s="45" t="s">
        <v>54</v>
      </c>
      <c r="E13" s="46" t="s">
        <v>55</v>
      </c>
      <c r="F13" s="47"/>
      <c r="G13" s="48"/>
      <c r="I13" s="86"/>
      <c r="J13" s="87"/>
      <c r="K13" s="39" t="s">
        <v>187</v>
      </c>
      <c r="L13" s="39" t="s">
        <v>188</v>
      </c>
      <c r="M13" s="40"/>
      <c r="O13" s="27"/>
      <c r="Q13" s="49"/>
    </row>
    <row r="14" spans="1:37" ht="15.6" x14ac:dyDescent="0.25">
      <c r="I14" s="88"/>
      <c r="J14" s="89"/>
      <c r="K14" s="39" t="s">
        <v>189</v>
      </c>
      <c r="L14" s="39" t="s">
        <v>190</v>
      </c>
      <c r="M14" s="40"/>
      <c r="O14" s="27"/>
      <c r="Q14" s="49"/>
    </row>
    <row r="15" spans="1:37" x14ac:dyDescent="0.25">
      <c r="O15" s="27"/>
      <c r="Q15" s="49"/>
    </row>
    <row r="16" spans="1:37" x14ac:dyDescent="0.25">
      <c r="O16" s="27"/>
      <c r="Q16" s="49"/>
    </row>
  </sheetData>
  <autoFilter ref="A6:AH8" xr:uid="{00000000-0001-0000-0100-000000000000}"/>
  <mergeCells count="3">
    <mergeCell ref="F2:L5"/>
    <mergeCell ref="N2:U5"/>
    <mergeCell ref="V2:AG5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35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tFD4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19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53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177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tFD50"/>
  <dimension ref="A1:S64"/>
  <sheetViews>
    <sheetView showGridLines="0" view="pageBreakPreview" topLeftCell="A6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20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54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179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178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332" t="s">
        <v>103</v>
      </c>
      <c r="E28" s="333"/>
      <c r="F28" s="33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335" t="e">
        <f>VLOOKUP($G$6,Lista!$A$7:$AC$10,25,0)</f>
        <v>#N/A</v>
      </c>
      <c r="K30" s="336"/>
      <c r="L30" s="337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97</v>
      </c>
      <c r="K39" s="202"/>
      <c r="L39" s="207"/>
      <c r="M39" s="201" t="s">
        <v>97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97</v>
      </c>
      <c r="K40" s="202"/>
      <c r="L40" s="207"/>
      <c r="M40" s="201" t="s">
        <v>97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97</v>
      </c>
      <c r="K42" s="338"/>
      <c r="L42" s="338"/>
      <c r="M42" s="338"/>
      <c r="N42" s="338"/>
      <c r="O42" s="339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97</v>
      </c>
      <c r="K44" s="338"/>
      <c r="L44" s="338"/>
      <c r="M44" s="338"/>
      <c r="N44" s="338"/>
      <c r="O44" s="339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162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>
        <v>2</v>
      </c>
      <c r="B55" s="1" t="s">
        <v>180</v>
      </c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tFD5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1" width="7.21875" style="1" customWidth="1"/>
    <col min="12" max="12" width="8.5546875" style="1" customWidth="1"/>
    <col min="13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21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56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s">
        <v>181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s">
        <v>182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s">
        <v>183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340" t="e">
        <f>VLOOKUP($G$6,Lista!$A$7:$AC$10,9,0)</f>
        <v>#N/A</v>
      </c>
      <c r="K17" s="341"/>
      <c r="L17" s="342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179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178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332" t="s">
        <v>103</v>
      </c>
      <c r="E28" s="333"/>
      <c r="F28" s="33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335" t="e">
        <f>VLOOKUP($G$6,Lista!$A$7:$AC$10,25,0)</f>
        <v>#N/A</v>
      </c>
      <c r="K30" s="336"/>
      <c r="L30" s="337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97</v>
      </c>
      <c r="K39" s="202"/>
      <c r="L39" s="207"/>
      <c r="M39" s="201" t="s">
        <v>97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97</v>
      </c>
      <c r="K40" s="202"/>
      <c r="L40" s="207"/>
      <c r="M40" s="201" t="s">
        <v>97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97</v>
      </c>
      <c r="K42" s="338"/>
      <c r="L42" s="338"/>
      <c r="M42" s="338"/>
      <c r="N42" s="338"/>
      <c r="O42" s="339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97</v>
      </c>
      <c r="K44" s="338"/>
      <c r="L44" s="338"/>
      <c r="M44" s="338"/>
      <c r="N44" s="338"/>
      <c r="O44" s="339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162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tFD55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22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59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162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97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tFD57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242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61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162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tFD58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25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62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107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107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97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s">
        <v>107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107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332" t="s">
        <v>103</v>
      </c>
      <c r="E28" s="333"/>
      <c r="F28" s="33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 t="s">
        <v>139</v>
      </c>
      <c r="K38" s="202"/>
      <c r="L38" s="207"/>
      <c r="M38" s="195" t="s">
        <v>139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13" t="s">
        <v>107</v>
      </c>
      <c r="K40" s="202"/>
      <c r="L40" s="207"/>
      <c r="M40" s="345" t="s">
        <v>107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13" t="s">
        <v>107</v>
      </c>
      <c r="K41" s="202"/>
      <c r="L41" s="207"/>
      <c r="M41" s="345" t="s">
        <v>107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107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107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107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13" t="s">
        <v>107</v>
      </c>
      <c r="K47" s="345"/>
      <c r="L47" s="345"/>
      <c r="M47" s="345"/>
      <c r="N47" s="345"/>
      <c r="O47" s="346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201" t="s">
        <v>107</v>
      </c>
      <c r="K48" s="338"/>
      <c r="L48" s="338"/>
      <c r="M48" s="338"/>
      <c r="N48" s="338"/>
      <c r="O48" s="339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201" t="s">
        <v>162</v>
      </c>
      <c r="K49" s="338"/>
      <c r="L49" s="338"/>
      <c r="M49" s="338"/>
      <c r="N49" s="338"/>
      <c r="O49" s="339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201" t="s">
        <v>177</v>
      </c>
      <c r="K50" s="338"/>
      <c r="L50" s="338"/>
      <c r="M50" s="338"/>
      <c r="N50" s="338"/>
      <c r="O50" s="339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204" t="s">
        <v>173</v>
      </c>
      <c r="K51" s="343"/>
      <c r="L51" s="343"/>
      <c r="M51" s="343"/>
      <c r="N51" s="343"/>
      <c r="O51" s="344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tFD59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26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63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177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tFD61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27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67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177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tFD62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28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68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177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tFD63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29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69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175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 t="s">
        <v>139</v>
      </c>
      <c r="K38" s="202"/>
      <c r="L38" s="207"/>
      <c r="M38" s="195" t="s">
        <v>139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177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tFD60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30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70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71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e">
        <f>IF(J13="ALÍVIO","25%","10%")</f>
        <v>#N/A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201" t="s">
        <v>139</v>
      </c>
      <c r="K38" s="202"/>
      <c r="L38" s="207"/>
      <c r="M38" s="195" t="s">
        <v>139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162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97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97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/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tFD64"/>
  <dimension ref="A1:S64"/>
  <sheetViews>
    <sheetView showGridLines="0" view="pageBreakPreview" zoomScale="115" zoomScaleNormal="115" zoomScaleSheetLayoutView="115" workbookViewId="0">
      <selection activeCell="B60" sqref="B60:L61"/>
    </sheetView>
  </sheetViews>
  <sheetFormatPr defaultColWidth="7.21875" defaultRowHeight="12" customHeight="1" x14ac:dyDescent="0.25"/>
  <cols>
    <col min="1" max="3" width="7.77734375" style="1" customWidth="1"/>
    <col min="4" max="15" width="7.21875" style="1" customWidth="1"/>
    <col min="16" max="16" width="7.21875" style="1"/>
    <col min="17" max="17" width="7.21875" style="1" customWidth="1"/>
    <col min="18" max="16384" width="7.21875" style="1"/>
  </cols>
  <sheetData>
    <row r="1" spans="1:19" ht="15" customHeight="1" x14ac:dyDescent="0.25">
      <c r="A1" s="316"/>
      <c r="B1" s="317"/>
      <c r="C1" s="317"/>
      <c r="D1" s="317"/>
      <c r="E1" s="317"/>
      <c r="F1" s="317"/>
      <c r="G1" s="118" t="s">
        <v>0</v>
      </c>
      <c r="H1" s="118"/>
      <c r="I1" s="118"/>
      <c r="J1" s="118"/>
      <c r="K1" s="320" t="s">
        <v>1</v>
      </c>
      <c r="L1" s="322" t="s">
        <v>56</v>
      </c>
      <c r="M1" s="323"/>
      <c r="N1" s="323"/>
      <c r="O1" s="324"/>
    </row>
    <row r="2" spans="1:19" ht="15" customHeight="1" x14ac:dyDescent="0.25">
      <c r="A2" s="318"/>
      <c r="B2" s="319"/>
      <c r="C2" s="319"/>
      <c r="D2" s="319"/>
      <c r="E2" s="319"/>
      <c r="F2" s="319"/>
      <c r="G2" s="120"/>
      <c r="H2" s="120"/>
      <c r="I2" s="120"/>
      <c r="J2" s="120"/>
      <c r="K2" s="321"/>
      <c r="L2" s="325"/>
      <c r="M2" s="326"/>
      <c r="N2" s="326"/>
      <c r="O2" s="327"/>
    </row>
    <row r="3" spans="1:19" ht="15" customHeight="1" x14ac:dyDescent="0.25">
      <c r="A3" s="318"/>
      <c r="B3" s="319"/>
      <c r="C3" s="319"/>
      <c r="D3" s="319"/>
      <c r="E3" s="319"/>
      <c r="F3" s="319"/>
      <c r="G3" s="21" t="s">
        <v>2</v>
      </c>
      <c r="H3" s="314" t="s">
        <v>3</v>
      </c>
      <c r="I3" s="315"/>
      <c r="J3" s="315"/>
      <c r="K3" s="315"/>
      <c r="L3" s="328" t="s">
        <v>4</v>
      </c>
      <c r="M3" s="182">
        <v>31</v>
      </c>
      <c r="N3" s="330" t="s">
        <v>5</v>
      </c>
      <c r="O3" s="183">
        <v>31</v>
      </c>
    </row>
    <row r="4" spans="1:19" ht="15" customHeight="1" x14ac:dyDescent="0.25">
      <c r="A4" s="312" t="s">
        <v>57</v>
      </c>
      <c r="B4" s="313"/>
      <c r="C4" s="313"/>
      <c r="D4" s="313"/>
      <c r="E4" s="313"/>
      <c r="F4" s="313"/>
      <c r="G4" s="21" t="s">
        <v>6</v>
      </c>
      <c r="H4" s="314" t="s">
        <v>7</v>
      </c>
      <c r="I4" s="315"/>
      <c r="J4" s="315"/>
      <c r="K4" s="315"/>
      <c r="L4" s="329"/>
      <c r="M4" s="259"/>
      <c r="N4" s="179"/>
      <c r="O4" s="331"/>
    </row>
    <row r="5" spans="1:19" ht="9.6" customHeight="1" x14ac:dyDescent="0.25">
      <c r="A5" s="7"/>
      <c r="B5" s="23"/>
      <c r="C5" s="23"/>
      <c r="D5" s="23"/>
      <c r="E5" s="24"/>
      <c r="F5" s="24"/>
      <c r="G5" s="24"/>
      <c r="H5" s="24"/>
      <c r="I5" s="24"/>
      <c r="J5" s="24"/>
      <c r="K5" s="24"/>
      <c r="L5" s="23"/>
      <c r="M5" s="23"/>
      <c r="N5" s="23"/>
      <c r="O5" s="8"/>
    </row>
    <row r="6" spans="1:19" ht="13.5" customHeight="1" x14ac:dyDescent="0.25">
      <c r="A6" s="186" t="s">
        <v>58</v>
      </c>
      <c r="B6" s="289"/>
      <c r="C6" s="294">
        <v>1</v>
      </c>
      <c r="D6" s="242" t="s">
        <v>59</v>
      </c>
      <c r="E6" s="242"/>
      <c r="F6" s="242"/>
      <c r="G6" s="243">
        <v>72</v>
      </c>
      <c r="H6" s="101"/>
      <c r="I6" s="101"/>
      <c r="J6" s="101"/>
      <c r="K6" s="101"/>
      <c r="L6" s="101"/>
      <c r="M6" s="101"/>
      <c r="N6" s="101"/>
      <c r="O6" s="244"/>
    </row>
    <row r="7" spans="1:19" ht="13.5" customHeight="1" x14ac:dyDescent="0.25">
      <c r="A7" s="290"/>
      <c r="B7" s="291"/>
      <c r="C7" s="295"/>
      <c r="D7" s="242" t="s">
        <v>17</v>
      </c>
      <c r="E7" s="242"/>
      <c r="F7" s="242"/>
      <c r="G7" s="243" t="e">
        <f>VLOOKUP($G$6,Lista!$A$7:$AC$10,2,0)</f>
        <v>#N/A</v>
      </c>
      <c r="H7" s="101"/>
      <c r="I7" s="101"/>
      <c r="J7" s="101"/>
      <c r="K7" s="101"/>
      <c r="L7" s="101"/>
      <c r="M7" s="101"/>
      <c r="N7" s="101"/>
      <c r="O7" s="244"/>
    </row>
    <row r="8" spans="1:19" ht="13.5" customHeight="1" x14ac:dyDescent="0.25">
      <c r="A8" s="290"/>
      <c r="B8" s="291"/>
      <c r="C8" s="295"/>
      <c r="D8" s="242" t="s">
        <v>60</v>
      </c>
      <c r="E8" s="242"/>
      <c r="F8" s="242"/>
      <c r="G8" s="243" t="e">
        <f>VLOOKUP($G$6,Lista!$A$7:$AC$10,3,0)</f>
        <v>#N/A</v>
      </c>
      <c r="H8" s="101"/>
      <c r="I8" s="101"/>
      <c r="J8" s="101"/>
      <c r="K8" s="101"/>
      <c r="L8" s="101"/>
      <c r="M8" s="101"/>
      <c r="N8" s="101"/>
      <c r="O8" s="244"/>
    </row>
    <row r="9" spans="1:19" ht="13.5" customHeight="1" x14ac:dyDescent="0.25">
      <c r="A9" s="290"/>
      <c r="B9" s="291"/>
      <c r="C9" s="295"/>
      <c r="D9" s="242" t="s">
        <v>19</v>
      </c>
      <c r="E9" s="242"/>
      <c r="F9" s="242"/>
      <c r="G9" s="243" t="e">
        <f>VLOOKUP($G$6,Lista!$A$7:$AC$10,4,0)</f>
        <v>#N/A</v>
      </c>
      <c r="H9" s="101"/>
      <c r="I9" s="101"/>
      <c r="J9" s="101"/>
      <c r="K9" s="101"/>
      <c r="L9" s="101"/>
      <c r="M9" s="101"/>
      <c r="N9" s="101"/>
      <c r="O9" s="244"/>
    </row>
    <row r="10" spans="1:19" ht="13.5" customHeight="1" x14ac:dyDescent="0.25">
      <c r="A10" s="292"/>
      <c r="B10" s="293"/>
      <c r="C10" s="296"/>
      <c r="D10" s="242" t="s">
        <v>61</v>
      </c>
      <c r="E10" s="242"/>
      <c r="F10" s="242"/>
      <c r="G10" s="243" t="e">
        <f>VLOOKUP($G$6,Lista!$A$7:$AC$10,5,0)</f>
        <v>#N/A</v>
      </c>
      <c r="H10" s="101"/>
      <c r="I10" s="101"/>
      <c r="J10" s="101"/>
      <c r="K10" s="101"/>
      <c r="L10" s="101"/>
      <c r="M10" s="101"/>
      <c r="N10" s="101"/>
      <c r="O10" s="244"/>
      <c r="S10"/>
    </row>
    <row r="11" spans="1:19" ht="13.5" customHeight="1" x14ac:dyDescent="0.25">
      <c r="A11" s="186" t="s">
        <v>8</v>
      </c>
      <c r="B11" s="187"/>
      <c r="C11" s="2">
        <v>2</v>
      </c>
      <c r="D11" s="192" t="s">
        <v>21</v>
      </c>
      <c r="E11" s="193"/>
      <c r="F11" s="193"/>
      <c r="G11" s="193"/>
      <c r="H11" s="193"/>
      <c r="I11" s="194"/>
      <c r="J11" s="279" t="e">
        <f>VLOOKUP($G$6,Lista!$A$7:$AC$10,6,0)</f>
        <v>#N/A</v>
      </c>
      <c r="K11" s="280"/>
      <c r="L11" s="280"/>
      <c r="M11" s="280"/>
      <c r="N11" s="280"/>
      <c r="O11" s="281"/>
    </row>
    <row r="12" spans="1:19" ht="13.5" customHeight="1" x14ac:dyDescent="0.25">
      <c r="A12" s="188"/>
      <c r="B12" s="189"/>
      <c r="C12" s="5">
        <v>3</v>
      </c>
      <c r="D12" s="198" t="s">
        <v>30</v>
      </c>
      <c r="E12" s="282"/>
      <c r="F12" s="282"/>
      <c r="G12" s="282"/>
      <c r="H12" s="282"/>
      <c r="I12" s="283"/>
      <c r="J12" s="284" t="e">
        <f>VLOOKUP($G$6,Lista!$A$7:$AC$10,15,0)</f>
        <v>#N/A</v>
      </c>
      <c r="K12" s="117"/>
      <c r="L12" s="117"/>
      <c r="M12" s="117"/>
      <c r="N12" s="117"/>
      <c r="O12" s="285"/>
    </row>
    <row r="13" spans="1:19" ht="13.5" customHeight="1" x14ac:dyDescent="0.25">
      <c r="A13" s="188"/>
      <c r="B13" s="189"/>
      <c r="C13" s="5" t="s">
        <v>62</v>
      </c>
      <c r="D13" s="198" t="s">
        <v>23</v>
      </c>
      <c r="E13" s="199"/>
      <c r="F13" s="199"/>
      <c r="G13" s="199"/>
      <c r="H13" s="199"/>
      <c r="I13" s="200"/>
      <c r="J13" s="284" t="e">
        <f>VLOOKUP($G$6,Lista!$A$7:$AC$10,8,0)</f>
        <v>#N/A</v>
      </c>
      <c r="K13" s="117"/>
      <c r="L13" s="117"/>
      <c r="M13" s="117"/>
      <c r="N13" s="117"/>
      <c r="O13" s="285"/>
    </row>
    <row r="14" spans="1:19" ht="13.5" customHeight="1" x14ac:dyDescent="0.25">
      <c r="A14" s="188"/>
      <c r="B14" s="189"/>
      <c r="C14" s="5" t="s">
        <v>63</v>
      </c>
      <c r="D14" s="198" t="s">
        <v>64</v>
      </c>
      <c r="E14" s="199"/>
      <c r="F14" s="199"/>
      <c r="G14" s="199"/>
      <c r="H14" s="199"/>
      <c r="I14" s="200"/>
      <c r="J14" s="201" t="s">
        <v>65</v>
      </c>
      <c r="K14" s="202"/>
      <c r="L14" s="202"/>
      <c r="M14" s="202"/>
      <c r="N14" s="202"/>
      <c r="O14" s="203"/>
    </row>
    <row r="15" spans="1:19" ht="13.5" customHeight="1" x14ac:dyDescent="0.25">
      <c r="A15" s="188"/>
      <c r="B15" s="189"/>
      <c r="C15" s="5" t="s">
        <v>66</v>
      </c>
      <c r="D15" s="198" t="s">
        <v>67</v>
      </c>
      <c r="E15" s="199"/>
      <c r="F15" s="199"/>
      <c r="G15" s="199"/>
      <c r="H15" s="199"/>
      <c r="I15" s="200"/>
      <c r="J15" s="201" t="s">
        <v>68</v>
      </c>
      <c r="K15" s="202"/>
      <c r="L15" s="202"/>
      <c r="M15" s="202"/>
      <c r="N15" s="202"/>
      <c r="O15" s="203"/>
    </row>
    <row r="16" spans="1:19" ht="13.5" customHeight="1" x14ac:dyDescent="0.25">
      <c r="A16" s="190"/>
      <c r="B16" s="191"/>
      <c r="C16" s="6" t="s">
        <v>69</v>
      </c>
      <c r="D16" s="175" t="s">
        <v>70</v>
      </c>
      <c r="E16" s="176"/>
      <c r="F16" s="176"/>
      <c r="G16" s="176"/>
      <c r="H16" s="176"/>
      <c r="I16" s="177"/>
      <c r="J16" s="210" t="s">
        <v>97</v>
      </c>
      <c r="K16" s="205"/>
      <c r="L16" s="205"/>
      <c r="M16" s="205"/>
      <c r="N16" s="205"/>
      <c r="O16" s="206"/>
    </row>
    <row r="17" spans="1:15" ht="13.5" customHeight="1" x14ac:dyDescent="0.25">
      <c r="A17" s="186" t="s">
        <v>72</v>
      </c>
      <c r="B17" s="187"/>
      <c r="C17" s="2" t="s">
        <v>73</v>
      </c>
      <c r="D17" s="192" t="s">
        <v>24</v>
      </c>
      <c r="E17" s="193"/>
      <c r="F17" s="193"/>
      <c r="G17" s="194"/>
      <c r="H17" s="192" t="s">
        <v>25</v>
      </c>
      <c r="I17" s="194"/>
      <c r="J17" s="213" t="e">
        <f>VLOOKUP($G$6,Lista!$A$7:$AC$10,9,0)</f>
        <v>#N/A</v>
      </c>
      <c r="K17" s="202"/>
      <c r="L17" s="207"/>
      <c r="M17" s="213" t="e">
        <f>VLOOKUP($G$6,Lista!$A$7:$AC$10,10,0)</f>
        <v>#N/A</v>
      </c>
      <c r="N17" s="202"/>
      <c r="O17" s="203"/>
    </row>
    <row r="18" spans="1:15" ht="13.5" customHeight="1" x14ac:dyDescent="0.25">
      <c r="A18" s="188"/>
      <c r="B18" s="189"/>
      <c r="C18" s="5" t="s">
        <v>74</v>
      </c>
      <c r="D18" s="198" t="s">
        <v>75</v>
      </c>
      <c r="E18" s="199"/>
      <c r="F18" s="199"/>
      <c r="G18" s="199"/>
      <c r="H18" s="199"/>
      <c r="I18" s="200"/>
      <c r="J18" s="250" t="e">
        <f>VLOOKUP($G$6,Lista!$A$7:$AC$10,14,0)</f>
        <v>#N/A</v>
      </c>
      <c r="K18" s="251"/>
      <c r="L18" s="251"/>
      <c r="M18" s="251"/>
      <c r="N18" s="251"/>
      <c r="O18" s="252"/>
    </row>
    <row r="19" spans="1:15" ht="13.5" customHeight="1" x14ac:dyDescent="0.25">
      <c r="A19" s="188"/>
      <c r="B19" s="189"/>
      <c r="C19" s="5" t="s">
        <v>76</v>
      </c>
      <c r="D19" s="198" t="s">
        <v>77</v>
      </c>
      <c r="E19" s="200"/>
      <c r="F19" s="201" t="s">
        <v>78</v>
      </c>
      <c r="G19" s="207"/>
      <c r="H19" s="201" t="s">
        <v>79</v>
      </c>
      <c r="I19" s="207"/>
      <c r="J19" s="214" t="e">
        <f>VLOOKUP($G$6,Lista!$A$7:$AC$10,16,0)</f>
        <v>#N/A</v>
      </c>
      <c r="K19" s="215"/>
      <c r="L19" s="216"/>
      <c r="M19" s="214" t="e">
        <f>VLOOKUP($G$6,Lista!$A$7:$AC$10,17,0)</f>
        <v>#N/A</v>
      </c>
      <c r="N19" s="215"/>
      <c r="O19" s="217"/>
    </row>
    <row r="20" spans="1:15" ht="13.5" customHeight="1" x14ac:dyDescent="0.25">
      <c r="A20" s="188"/>
      <c r="B20" s="189"/>
      <c r="C20" s="5" t="s">
        <v>80</v>
      </c>
      <c r="D20" s="198" t="s">
        <v>81</v>
      </c>
      <c r="E20" s="200"/>
      <c r="F20" s="201" t="s">
        <v>78</v>
      </c>
      <c r="G20" s="207"/>
      <c r="H20" s="201" t="s">
        <v>79</v>
      </c>
      <c r="I20" s="207"/>
      <c r="J20" s="246" t="e">
        <f>VLOOKUP($G$6,Lista!$A$7:$AC$10,18,0)</f>
        <v>#N/A</v>
      </c>
      <c r="K20" s="247"/>
      <c r="L20" s="248"/>
      <c r="M20" s="246" t="e">
        <f>VLOOKUP($G$6,Lista!$A$7:$AC$10,19,0)</f>
        <v>#N/A</v>
      </c>
      <c r="N20" s="247"/>
      <c r="O20" s="249"/>
    </row>
    <row r="21" spans="1:15" ht="13.5" customHeight="1" x14ac:dyDescent="0.25">
      <c r="A21" s="188"/>
      <c r="B21" s="189"/>
      <c r="C21" s="5" t="s">
        <v>82</v>
      </c>
      <c r="D21" s="198" t="s">
        <v>83</v>
      </c>
      <c r="E21" s="199"/>
      <c r="F21" s="199"/>
      <c r="G21" s="200"/>
      <c r="H21" s="201" t="s">
        <v>84</v>
      </c>
      <c r="I21" s="207"/>
      <c r="J21" s="214">
        <v>0</v>
      </c>
      <c r="K21" s="215"/>
      <c r="L21" s="215"/>
      <c r="M21" s="215"/>
      <c r="N21" s="215"/>
      <c r="O21" s="217"/>
    </row>
    <row r="22" spans="1:15" ht="13.5" customHeight="1" x14ac:dyDescent="0.25">
      <c r="A22" s="188"/>
      <c r="B22" s="189"/>
      <c r="C22" s="5" t="s">
        <v>85</v>
      </c>
      <c r="D22" s="198" t="s">
        <v>86</v>
      </c>
      <c r="E22" s="199"/>
      <c r="F22" s="199"/>
      <c r="G22" s="200"/>
      <c r="H22" s="201" t="s">
        <v>87</v>
      </c>
      <c r="I22" s="207"/>
      <c r="J22" s="214">
        <v>0</v>
      </c>
      <c r="K22" s="215"/>
      <c r="L22" s="216"/>
      <c r="M22" s="214">
        <v>0</v>
      </c>
      <c r="N22" s="215"/>
      <c r="O22" s="217"/>
    </row>
    <row r="23" spans="1:15" ht="13.5" customHeight="1" x14ac:dyDescent="0.25">
      <c r="A23" s="188"/>
      <c r="B23" s="189"/>
      <c r="C23" s="5" t="s">
        <v>88</v>
      </c>
      <c r="D23" s="253" t="s">
        <v>89</v>
      </c>
      <c r="E23" s="254"/>
      <c r="F23" s="254"/>
      <c r="G23" s="254"/>
      <c r="H23" s="254"/>
      <c r="I23" s="255"/>
      <c r="J23" s="214" t="s">
        <v>90</v>
      </c>
      <c r="K23" s="215"/>
      <c r="L23" s="215"/>
      <c r="M23" s="215"/>
      <c r="N23" s="215"/>
      <c r="O23" s="217"/>
    </row>
    <row r="24" spans="1:15" ht="13.5" customHeight="1" x14ac:dyDescent="0.25">
      <c r="A24" s="188"/>
      <c r="B24" s="189"/>
      <c r="C24" s="5" t="s">
        <v>91</v>
      </c>
      <c r="D24" s="198" t="s">
        <v>92</v>
      </c>
      <c r="E24" s="199"/>
      <c r="F24" s="199"/>
      <c r="G24" s="199"/>
      <c r="H24" s="199"/>
      <c r="I24" s="200"/>
      <c r="J24" s="220" t="s">
        <v>97</v>
      </c>
      <c r="K24" s="221"/>
      <c r="L24" s="221"/>
      <c r="M24" s="221"/>
      <c r="N24" s="221"/>
      <c r="O24" s="222"/>
    </row>
    <row r="25" spans="1:15" ht="13.5" customHeight="1" x14ac:dyDescent="0.25">
      <c r="A25" s="188"/>
      <c r="B25" s="189"/>
      <c r="C25" s="5" t="s">
        <v>93</v>
      </c>
      <c r="D25" s="198" t="s">
        <v>94</v>
      </c>
      <c r="E25" s="199"/>
      <c r="F25" s="199"/>
      <c r="G25" s="199"/>
      <c r="H25" s="199"/>
      <c r="I25" s="200"/>
      <c r="J25" s="214" t="e">
        <f>M19</f>
        <v>#N/A</v>
      </c>
      <c r="K25" s="223"/>
      <c r="L25" s="223"/>
      <c r="M25" s="223"/>
      <c r="N25" s="223"/>
      <c r="O25" s="224"/>
    </row>
    <row r="26" spans="1:15" ht="13.5" customHeight="1" x14ac:dyDescent="0.25">
      <c r="A26" s="190"/>
      <c r="B26" s="191"/>
      <c r="C26" s="6" t="s">
        <v>95</v>
      </c>
      <c r="D26" s="175" t="s">
        <v>96</v>
      </c>
      <c r="E26" s="176"/>
      <c r="F26" s="176"/>
      <c r="G26" s="176"/>
      <c r="H26" s="176"/>
      <c r="I26" s="177"/>
      <c r="J26" s="218" t="s">
        <v>97</v>
      </c>
      <c r="K26" s="219"/>
      <c r="L26" s="219"/>
      <c r="M26" s="205"/>
      <c r="N26" s="205"/>
      <c r="O26" s="206"/>
    </row>
    <row r="27" spans="1:15" ht="13.5" customHeight="1" x14ac:dyDescent="0.25">
      <c r="A27" s="186" t="s">
        <v>98</v>
      </c>
      <c r="B27" s="187"/>
      <c r="C27" s="2" t="s">
        <v>99</v>
      </c>
      <c r="D27" s="192" t="s">
        <v>100</v>
      </c>
      <c r="E27" s="193"/>
      <c r="F27" s="194"/>
      <c r="G27" s="192" t="s">
        <v>101</v>
      </c>
      <c r="H27" s="193"/>
      <c r="I27" s="193"/>
      <c r="J27" s="308" t="e">
        <f>VLOOKUP($G$6,Lista!$A$7:$AC$10,20,0)</f>
        <v>#N/A</v>
      </c>
      <c r="K27" s="309"/>
      <c r="L27" s="310"/>
      <c r="M27" s="228" t="e">
        <f>VLOOKUP($G$6,Lista!$A$7:$AC$10,22,0)</f>
        <v>#N/A</v>
      </c>
      <c r="N27" s="229"/>
      <c r="O27" s="230"/>
    </row>
    <row r="28" spans="1:15" ht="13.5" customHeight="1" x14ac:dyDescent="0.25">
      <c r="A28" s="188"/>
      <c r="B28" s="189"/>
      <c r="C28" s="5" t="s">
        <v>102</v>
      </c>
      <c r="D28" s="192" t="s">
        <v>103</v>
      </c>
      <c r="E28" s="193"/>
      <c r="F28" s="194"/>
      <c r="G28" s="198" t="s">
        <v>12</v>
      </c>
      <c r="H28" s="199"/>
      <c r="I28" s="200"/>
      <c r="J28" s="231" t="e">
        <f>VLOOKUP($G$6,Lista!$A$7:$AC$10,21,0)</f>
        <v>#N/A</v>
      </c>
      <c r="K28" s="232"/>
      <c r="L28" s="233"/>
      <c r="M28" s="237" t="e">
        <f>VLOOKUP($G$6,Lista!$A$7:$AC$10,23,0)</f>
        <v>#N/A</v>
      </c>
      <c r="N28" s="238"/>
      <c r="O28" s="311"/>
    </row>
    <row r="29" spans="1:15" ht="13.5" customHeight="1" x14ac:dyDescent="0.25">
      <c r="A29" s="188"/>
      <c r="B29" s="189"/>
      <c r="C29" s="5" t="s">
        <v>104</v>
      </c>
      <c r="D29" s="198" t="s">
        <v>105</v>
      </c>
      <c r="E29" s="199"/>
      <c r="F29" s="200"/>
      <c r="G29" s="198" t="s">
        <v>106</v>
      </c>
      <c r="H29" s="199"/>
      <c r="I29" s="200"/>
      <c r="J29" s="237" t="e">
        <f>VLOOKUP($G$6,Lista!$A$7:$AC$10,24,0)</f>
        <v>#N/A</v>
      </c>
      <c r="K29" s="238"/>
      <c r="L29" s="239"/>
      <c r="M29" s="213" t="s">
        <v>107</v>
      </c>
      <c r="N29" s="202"/>
      <c r="O29" s="203"/>
    </row>
    <row r="30" spans="1:15" ht="13.5" customHeight="1" x14ac:dyDescent="0.25">
      <c r="A30" s="190"/>
      <c r="B30" s="191"/>
      <c r="C30" s="6" t="s">
        <v>108</v>
      </c>
      <c r="D30" s="175" t="s">
        <v>109</v>
      </c>
      <c r="E30" s="176"/>
      <c r="F30" s="177"/>
      <c r="G30" s="175" t="s">
        <v>110</v>
      </c>
      <c r="H30" s="176"/>
      <c r="I30" s="177"/>
      <c r="J30" s="237" t="e">
        <f>VLOOKUP($G$6,Lista!$A$7:$AC$10,25,0)</f>
        <v>#N/A</v>
      </c>
      <c r="K30" s="238"/>
      <c r="L30" s="239"/>
      <c r="M30" s="210" t="s">
        <v>107</v>
      </c>
      <c r="N30" s="205"/>
      <c r="O30" s="206"/>
    </row>
    <row r="31" spans="1:15" ht="13.5" customHeight="1" x14ac:dyDescent="0.25">
      <c r="A31" s="186" t="s">
        <v>111</v>
      </c>
      <c r="B31" s="187"/>
      <c r="C31" s="2" t="s">
        <v>112</v>
      </c>
      <c r="D31" s="192" t="s">
        <v>113</v>
      </c>
      <c r="E31" s="193"/>
      <c r="F31" s="193"/>
      <c r="G31" s="193"/>
      <c r="H31" s="193"/>
      <c r="I31" s="194"/>
      <c r="J31" s="195" t="s">
        <v>114</v>
      </c>
      <c r="K31" s="208"/>
      <c r="L31" s="208"/>
      <c r="M31" s="208"/>
      <c r="N31" s="208"/>
      <c r="O31" s="209"/>
    </row>
    <row r="32" spans="1:15" ht="13.5" customHeight="1" x14ac:dyDescent="0.25">
      <c r="A32" s="190"/>
      <c r="B32" s="191"/>
      <c r="C32" s="6" t="s">
        <v>115</v>
      </c>
      <c r="D32" s="175" t="s">
        <v>116</v>
      </c>
      <c r="E32" s="176"/>
      <c r="F32" s="176"/>
      <c r="G32" s="176"/>
      <c r="H32" s="176"/>
      <c r="I32" s="177"/>
      <c r="J32" s="210" t="s">
        <v>107</v>
      </c>
      <c r="K32" s="205"/>
      <c r="L32" s="205"/>
      <c r="M32" s="205"/>
      <c r="N32" s="205"/>
      <c r="O32" s="206"/>
    </row>
    <row r="33" spans="1:15" ht="13.5" customHeight="1" x14ac:dyDescent="0.25">
      <c r="A33" s="186" t="s">
        <v>117</v>
      </c>
      <c r="B33" s="187"/>
      <c r="C33" s="2" t="s">
        <v>118</v>
      </c>
      <c r="D33" s="192" t="s">
        <v>119</v>
      </c>
      <c r="E33" s="194"/>
      <c r="F33" s="195" t="s">
        <v>120</v>
      </c>
      <c r="G33" s="211"/>
      <c r="H33" s="195" t="s">
        <v>121</v>
      </c>
      <c r="I33" s="211"/>
      <c r="J33" s="195" t="s">
        <v>97</v>
      </c>
      <c r="K33" s="208"/>
      <c r="L33" s="211"/>
      <c r="M33" s="195" t="s">
        <v>97</v>
      </c>
      <c r="N33" s="208"/>
      <c r="O33" s="209"/>
    </row>
    <row r="34" spans="1:15" ht="13.5" customHeight="1" x14ac:dyDescent="0.25">
      <c r="A34" s="188"/>
      <c r="B34" s="189"/>
      <c r="C34" s="5" t="s">
        <v>122</v>
      </c>
      <c r="D34" s="198" t="s">
        <v>123</v>
      </c>
      <c r="E34" s="200"/>
      <c r="F34" s="201" t="s">
        <v>120</v>
      </c>
      <c r="G34" s="207"/>
      <c r="H34" s="201" t="s">
        <v>121</v>
      </c>
      <c r="I34" s="207"/>
      <c r="J34" s="201" t="s">
        <v>124</v>
      </c>
      <c r="K34" s="202"/>
      <c r="L34" s="207"/>
      <c r="M34" s="201" t="s">
        <v>124</v>
      </c>
      <c r="N34" s="202"/>
      <c r="O34" s="203"/>
    </row>
    <row r="35" spans="1:15" ht="13.5" customHeight="1" x14ac:dyDescent="0.25">
      <c r="A35" s="188"/>
      <c r="B35" s="189"/>
      <c r="C35" s="5" t="s">
        <v>125</v>
      </c>
      <c r="D35" s="198" t="s">
        <v>126</v>
      </c>
      <c r="E35" s="200"/>
      <c r="F35" s="201" t="s">
        <v>120</v>
      </c>
      <c r="G35" s="207"/>
      <c r="H35" s="201" t="s">
        <v>121</v>
      </c>
      <c r="I35" s="207"/>
      <c r="J35" s="201" t="s">
        <v>127</v>
      </c>
      <c r="K35" s="202"/>
      <c r="L35" s="207"/>
      <c r="M35" s="201" t="s">
        <v>127</v>
      </c>
      <c r="N35" s="202"/>
      <c r="O35" s="203"/>
    </row>
    <row r="36" spans="1:15" ht="13.5" customHeight="1" x14ac:dyDescent="0.25">
      <c r="A36" s="188"/>
      <c r="B36" s="189"/>
      <c r="C36" s="5" t="s">
        <v>128</v>
      </c>
      <c r="D36" s="198" t="s">
        <v>129</v>
      </c>
      <c r="E36" s="200"/>
      <c r="F36" s="201" t="s">
        <v>120</v>
      </c>
      <c r="G36" s="207"/>
      <c r="H36" s="201" t="s">
        <v>121</v>
      </c>
      <c r="I36" s="207"/>
      <c r="J36" s="201" t="s">
        <v>130</v>
      </c>
      <c r="K36" s="202"/>
      <c r="L36" s="207"/>
      <c r="M36" s="201" t="s">
        <v>130</v>
      </c>
      <c r="N36" s="202"/>
      <c r="O36" s="203"/>
    </row>
    <row r="37" spans="1:15" ht="13.5" customHeight="1" x14ac:dyDescent="0.25">
      <c r="A37" s="190"/>
      <c r="B37" s="191"/>
      <c r="C37" s="6" t="s">
        <v>131</v>
      </c>
      <c r="D37" s="175" t="s">
        <v>132</v>
      </c>
      <c r="E37" s="176"/>
      <c r="F37" s="177"/>
      <c r="G37" s="175" t="s">
        <v>133</v>
      </c>
      <c r="H37" s="176"/>
      <c r="I37" s="177"/>
      <c r="J37" s="204" t="s">
        <v>134</v>
      </c>
      <c r="K37" s="205"/>
      <c r="L37" s="212"/>
      <c r="M37" s="204" t="s">
        <v>107</v>
      </c>
      <c r="N37" s="205"/>
      <c r="O37" s="206"/>
    </row>
    <row r="38" spans="1:15" ht="13.5" customHeight="1" x14ac:dyDescent="0.25">
      <c r="A38" s="186" t="s">
        <v>135</v>
      </c>
      <c r="B38" s="187"/>
      <c r="C38" s="2" t="s">
        <v>136</v>
      </c>
      <c r="D38" s="192" t="s">
        <v>137</v>
      </c>
      <c r="E38" s="193"/>
      <c r="F38" s="194"/>
      <c r="G38" s="192" t="s">
        <v>138</v>
      </c>
      <c r="H38" s="193"/>
      <c r="I38" s="194"/>
      <c r="J38" s="195" t="s">
        <v>176</v>
      </c>
      <c r="K38" s="208"/>
      <c r="L38" s="211"/>
      <c r="M38" s="195" t="s">
        <v>176</v>
      </c>
      <c r="N38" s="208"/>
      <c r="O38" s="209"/>
    </row>
    <row r="39" spans="1:15" ht="13.5" customHeight="1" x14ac:dyDescent="0.25">
      <c r="A39" s="188"/>
      <c r="B39" s="189"/>
      <c r="C39" s="5" t="s">
        <v>140</v>
      </c>
      <c r="D39" s="198" t="s">
        <v>141</v>
      </c>
      <c r="E39" s="199"/>
      <c r="F39" s="200"/>
      <c r="G39" s="198" t="s">
        <v>142</v>
      </c>
      <c r="H39" s="199"/>
      <c r="I39" s="200"/>
      <c r="J39" s="201" t="s">
        <v>143</v>
      </c>
      <c r="K39" s="202"/>
      <c r="L39" s="207"/>
      <c r="M39" s="201" t="s">
        <v>143</v>
      </c>
      <c r="N39" s="202"/>
      <c r="O39" s="203"/>
    </row>
    <row r="40" spans="1:15" ht="13.5" customHeight="1" x14ac:dyDescent="0.25">
      <c r="A40" s="188"/>
      <c r="B40" s="189"/>
      <c r="C40" s="5" t="s">
        <v>144</v>
      </c>
      <c r="D40" s="198" t="s">
        <v>145</v>
      </c>
      <c r="E40" s="199"/>
      <c r="F40" s="200"/>
      <c r="G40" s="198" t="s">
        <v>146</v>
      </c>
      <c r="H40" s="199"/>
      <c r="I40" s="200"/>
      <c r="J40" s="201" t="s">
        <v>143</v>
      </c>
      <c r="K40" s="202"/>
      <c r="L40" s="207"/>
      <c r="M40" s="201" t="s">
        <v>143</v>
      </c>
      <c r="N40" s="202"/>
      <c r="O40" s="203"/>
    </row>
    <row r="41" spans="1:15" ht="13.5" customHeight="1" x14ac:dyDescent="0.25">
      <c r="A41" s="188"/>
      <c r="B41" s="189"/>
      <c r="C41" s="5" t="s">
        <v>147</v>
      </c>
      <c r="D41" s="198" t="s">
        <v>148</v>
      </c>
      <c r="E41" s="199"/>
      <c r="F41" s="200"/>
      <c r="G41" s="198" t="s">
        <v>149</v>
      </c>
      <c r="H41" s="199"/>
      <c r="I41" s="200"/>
      <c r="J41" s="201" t="s">
        <v>97</v>
      </c>
      <c r="K41" s="202"/>
      <c r="L41" s="207"/>
      <c r="M41" s="201" t="s">
        <v>97</v>
      </c>
      <c r="N41" s="202"/>
      <c r="O41" s="203"/>
    </row>
    <row r="42" spans="1:15" ht="13.5" customHeight="1" x14ac:dyDescent="0.25">
      <c r="A42" s="188"/>
      <c r="B42" s="189"/>
      <c r="C42" s="5" t="s">
        <v>150</v>
      </c>
      <c r="D42" s="198" t="s">
        <v>151</v>
      </c>
      <c r="E42" s="199"/>
      <c r="F42" s="199"/>
      <c r="G42" s="199"/>
      <c r="H42" s="199"/>
      <c r="I42" s="200"/>
      <c r="J42" s="201" t="s">
        <v>143</v>
      </c>
      <c r="K42" s="202"/>
      <c r="L42" s="202"/>
      <c r="M42" s="202"/>
      <c r="N42" s="202"/>
      <c r="O42" s="203"/>
    </row>
    <row r="43" spans="1:15" s="3" customFormat="1" ht="13.5" customHeight="1" x14ac:dyDescent="0.25">
      <c r="A43" s="188"/>
      <c r="B43" s="189"/>
      <c r="C43" s="5" t="s">
        <v>152</v>
      </c>
      <c r="D43" s="198" t="s">
        <v>153</v>
      </c>
      <c r="E43" s="199"/>
      <c r="F43" s="199"/>
      <c r="G43" s="199"/>
      <c r="H43" s="199"/>
      <c r="I43" s="200"/>
      <c r="J43" s="201" t="s">
        <v>107</v>
      </c>
      <c r="K43" s="202"/>
      <c r="L43" s="202"/>
      <c r="M43" s="202"/>
      <c r="N43" s="202"/>
      <c r="O43" s="203"/>
    </row>
    <row r="44" spans="1:15" s="3" customFormat="1" ht="13.5" customHeight="1" x14ac:dyDescent="0.25">
      <c r="A44" s="188"/>
      <c r="B44" s="189"/>
      <c r="C44" s="5" t="s">
        <v>154</v>
      </c>
      <c r="D44" s="198" t="s">
        <v>155</v>
      </c>
      <c r="E44" s="199"/>
      <c r="F44" s="199"/>
      <c r="G44" s="199"/>
      <c r="H44" s="199"/>
      <c r="I44" s="200"/>
      <c r="J44" s="201" t="s">
        <v>156</v>
      </c>
      <c r="K44" s="202"/>
      <c r="L44" s="202"/>
      <c r="M44" s="202"/>
      <c r="N44" s="202"/>
      <c r="O44" s="203"/>
    </row>
    <row r="45" spans="1:15" s="3" customFormat="1" ht="13.5" customHeight="1" x14ac:dyDescent="0.25">
      <c r="A45" s="190"/>
      <c r="B45" s="191"/>
      <c r="C45" s="6" t="s">
        <v>157</v>
      </c>
      <c r="D45" s="175" t="s">
        <v>158</v>
      </c>
      <c r="E45" s="176"/>
      <c r="F45" s="176"/>
      <c r="G45" s="176"/>
      <c r="H45" s="176"/>
      <c r="I45" s="177"/>
      <c r="J45" s="204" t="s">
        <v>107</v>
      </c>
      <c r="K45" s="205"/>
      <c r="L45" s="205"/>
      <c r="M45" s="205"/>
      <c r="N45" s="205"/>
      <c r="O45" s="206"/>
    </row>
    <row r="46" spans="1:15" ht="13.5" customHeight="1" x14ac:dyDescent="0.25">
      <c r="A46" s="186" t="s">
        <v>159</v>
      </c>
      <c r="B46" s="187"/>
      <c r="C46" s="2" t="s">
        <v>160</v>
      </c>
      <c r="D46" s="192" t="s">
        <v>161</v>
      </c>
      <c r="E46" s="193"/>
      <c r="F46" s="193"/>
      <c r="G46" s="193"/>
      <c r="H46" s="193"/>
      <c r="I46" s="194"/>
      <c r="J46" s="195" t="s">
        <v>97</v>
      </c>
      <c r="K46" s="196"/>
      <c r="L46" s="196"/>
      <c r="M46" s="196"/>
      <c r="N46" s="196"/>
      <c r="O46" s="197"/>
    </row>
    <row r="47" spans="1:15" ht="13.5" customHeight="1" x14ac:dyDescent="0.25">
      <c r="A47" s="188"/>
      <c r="B47" s="189"/>
      <c r="C47" s="5" t="s">
        <v>163</v>
      </c>
      <c r="D47" s="198" t="s">
        <v>164</v>
      </c>
      <c r="E47" s="199"/>
      <c r="F47" s="199"/>
      <c r="G47" s="199"/>
      <c r="H47" s="199"/>
      <c r="I47" s="200"/>
      <c r="J47" s="284" t="s">
        <v>162</v>
      </c>
      <c r="K47" s="117"/>
      <c r="L47" s="117"/>
      <c r="M47" s="117"/>
      <c r="N47" s="117"/>
      <c r="O47" s="285"/>
    </row>
    <row r="48" spans="1:15" ht="13.5" customHeight="1" x14ac:dyDescent="0.25">
      <c r="A48" s="188"/>
      <c r="B48" s="189"/>
      <c r="C48" s="5" t="s">
        <v>165</v>
      </c>
      <c r="D48" s="198" t="s">
        <v>166</v>
      </c>
      <c r="E48" s="199"/>
      <c r="F48" s="199"/>
      <c r="G48" s="199"/>
      <c r="H48" s="199"/>
      <c r="I48" s="200"/>
      <c r="J48" s="172" t="s">
        <v>162</v>
      </c>
      <c r="K48" s="173"/>
      <c r="L48" s="173"/>
      <c r="M48" s="173"/>
      <c r="N48" s="173"/>
      <c r="O48" s="174"/>
    </row>
    <row r="49" spans="1:17" ht="13.5" customHeight="1" x14ac:dyDescent="0.25">
      <c r="A49" s="188"/>
      <c r="B49" s="189"/>
      <c r="C49" s="5" t="s">
        <v>167</v>
      </c>
      <c r="D49" s="198" t="s">
        <v>168</v>
      </c>
      <c r="E49" s="199"/>
      <c r="F49" s="199"/>
      <c r="G49" s="199"/>
      <c r="H49" s="199"/>
      <c r="I49" s="200"/>
      <c r="J49" s="172" t="s">
        <v>162</v>
      </c>
      <c r="K49" s="173"/>
      <c r="L49" s="173"/>
      <c r="M49" s="173"/>
      <c r="N49" s="173"/>
      <c r="O49" s="174"/>
    </row>
    <row r="50" spans="1:17" ht="13.5" customHeight="1" x14ac:dyDescent="0.25">
      <c r="A50" s="188"/>
      <c r="B50" s="189"/>
      <c r="C50" s="5" t="s">
        <v>169</v>
      </c>
      <c r="D50" s="198" t="s">
        <v>170</v>
      </c>
      <c r="E50" s="199"/>
      <c r="F50" s="199"/>
      <c r="G50" s="199"/>
      <c r="H50" s="199"/>
      <c r="I50" s="200"/>
      <c r="J50" s="172" t="s">
        <v>162</v>
      </c>
      <c r="K50" s="173"/>
      <c r="L50" s="173"/>
      <c r="M50" s="173"/>
      <c r="N50" s="173"/>
      <c r="O50" s="174"/>
    </row>
    <row r="51" spans="1:17" ht="13.5" customHeight="1" x14ac:dyDescent="0.25">
      <c r="A51" s="190"/>
      <c r="B51" s="191"/>
      <c r="C51" s="6" t="s">
        <v>171</v>
      </c>
      <c r="D51" s="175" t="s">
        <v>172</v>
      </c>
      <c r="E51" s="176"/>
      <c r="F51" s="176"/>
      <c r="G51" s="176"/>
      <c r="H51" s="176"/>
      <c r="I51" s="177"/>
      <c r="J51" s="178" t="s">
        <v>173</v>
      </c>
      <c r="K51" s="179"/>
      <c r="L51" s="179"/>
      <c r="M51" s="179"/>
      <c r="N51" s="179"/>
      <c r="O51" s="180"/>
    </row>
    <row r="52" spans="1:17" ht="13.5" customHeight="1" x14ac:dyDescent="0.25">
      <c r="A52" s="9"/>
      <c r="O52" s="10"/>
    </row>
    <row r="53" spans="1:17" ht="13.5" customHeight="1" x14ac:dyDescent="0.25">
      <c r="A53" s="11" t="s">
        <v>174</v>
      </c>
      <c r="O53" s="10"/>
    </row>
    <row r="54" spans="1:17" ht="13.5" customHeight="1" x14ac:dyDescent="0.25">
      <c r="A54" s="11">
        <v>1</v>
      </c>
      <c r="B54" s="1" t="e">
        <f>IF(VLOOKUP($G$6,Lista!$A$7:$AC$10,26,0)= 0,"",VLOOKUP($G$6,Lista!$A$7:$AC$10,26,0))</f>
        <v>#N/A</v>
      </c>
      <c r="O54" s="10"/>
      <c r="Q54" s="4"/>
    </row>
    <row r="55" spans="1:17" ht="13.5" customHeight="1" x14ac:dyDescent="0.25">
      <c r="A55" s="11"/>
      <c r="O55" s="10"/>
      <c r="Q55" s="4"/>
    </row>
    <row r="56" spans="1:17" ht="13.5" customHeight="1" x14ac:dyDescent="0.25">
      <c r="A56" s="11"/>
      <c r="O56" s="10"/>
      <c r="Q56" s="4"/>
    </row>
    <row r="57" spans="1:17" ht="13.5" customHeight="1" x14ac:dyDescent="0.25">
      <c r="A57" s="11"/>
      <c r="O57" s="10"/>
      <c r="Q57" s="4"/>
    </row>
    <row r="58" spans="1:17" ht="13.5" customHeight="1" x14ac:dyDescent="0.25">
      <c r="A58" s="11"/>
      <c r="O58" s="10"/>
      <c r="Q58" s="4"/>
    </row>
    <row r="59" spans="1:17" ht="13.5" customHeight="1" x14ac:dyDescent="0.25">
      <c r="A59" s="11"/>
      <c r="O59" s="10"/>
      <c r="Q59" s="4"/>
    </row>
    <row r="60" spans="1:17" ht="13.5" customHeight="1" x14ac:dyDescent="0.25">
      <c r="A60" s="11"/>
      <c r="O60" s="10"/>
      <c r="Q60" s="4"/>
    </row>
    <row r="61" spans="1:17" ht="13.5" customHeight="1" x14ac:dyDescent="0.25">
      <c r="A61" s="11"/>
      <c r="O61" s="10"/>
      <c r="Q61" s="4"/>
    </row>
    <row r="62" spans="1:17" ht="13.5" customHeight="1" x14ac:dyDescent="0.25">
      <c r="A62" s="11"/>
      <c r="B62" s="25"/>
      <c r="O62" s="10"/>
    </row>
    <row r="63" spans="1:17" ht="13.5" customHeight="1" x14ac:dyDescent="0.25">
      <c r="A63" s="9"/>
      <c r="O63" s="10"/>
    </row>
    <row r="64" spans="1:17" ht="13.5" customHeight="1" thickBot="1" x14ac:dyDescent="0.3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</row>
  </sheetData>
  <mergeCells count="154">
    <mergeCell ref="J50:O50"/>
    <mergeCell ref="D51:I51"/>
    <mergeCell ref="J51:O51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G41:I41"/>
    <mergeCell ref="J41:L41"/>
    <mergeCell ref="M41:O41"/>
    <mergeCell ref="D42:I42"/>
    <mergeCell ref="J42:O42"/>
    <mergeCell ref="A38:B45"/>
    <mergeCell ref="D38:F38"/>
    <mergeCell ref="G38:I38"/>
    <mergeCell ref="J38:L38"/>
    <mergeCell ref="M38:O38"/>
    <mergeCell ref="D39:F39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G39:I39"/>
    <mergeCell ref="J39:L39"/>
    <mergeCell ref="M39:O39"/>
    <mergeCell ref="D40:F40"/>
    <mergeCell ref="G40:I40"/>
    <mergeCell ref="J40:L40"/>
    <mergeCell ref="M40:O40"/>
    <mergeCell ref="D37:F37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J23:O23"/>
    <mergeCell ref="D24:I24"/>
    <mergeCell ref="J24:O24"/>
    <mergeCell ref="D25:I25"/>
    <mergeCell ref="J25:O25"/>
    <mergeCell ref="D21:G21"/>
    <mergeCell ref="A11:B16"/>
    <mergeCell ref="D11:I11"/>
    <mergeCell ref="J11:O11"/>
    <mergeCell ref="D12:I12"/>
    <mergeCell ref="J12:O12"/>
    <mergeCell ref="D13:I13"/>
    <mergeCell ref="A4:F4"/>
    <mergeCell ref="H4:K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  <mergeCell ref="J14:O14"/>
    <mergeCell ref="D15:I15"/>
    <mergeCell ref="J15:O15"/>
    <mergeCell ref="D16:I16"/>
    <mergeCell ref="J16:O16"/>
    <mergeCell ref="D9:F9"/>
    <mergeCell ref="A1:C3"/>
    <mergeCell ref="D1:F3"/>
    <mergeCell ref="G1:J2"/>
    <mergeCell ref="K1:K2"/>
    <mergeCell ref="L1:O2"/>
    <mergeCell ref="H3:K3"/>
    <mergeCell ref="L3:L4"/>
    <mergeCell ref="M3:M4"/>
    <mergeCell ref="N3:N4"/>
    <mergeCell ref="O3:O4"/>
  </mergeCells>
  <printOptions horizontalCentered="1"/>
  <pageMargins left="0.19685039370078741" right="0.19685039370078741" top="0.35433070866141736" bottom="0.23622047244094491" header="0.23622047244094491" footer="0.19685039370078741"/>
  <pageSetup paperSize="9" scale="90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E09AF8-F8A7-4471-8BAC-BB6EC5868F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43DFC5-EC9D-4436-9306-C65870E4005E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09800482-4cb0-41a3-85e1-23f7b0b2224e"/>
    <ds:schemaRef ds:uri="e4d7e4c3-b78f-4756-8feb-bf68a8958333"/>
    <ds:schemaRef ds:uri="http://schemas.microsoft.com/office/2006/metadata/properties"/>
    <ds:schemaRef ds:uri="1b146853-cbf1-4f8c-b6d7-58284d252a43"/>
  </ds:schemaRefs>
</ds:datastoreItem>
</file>

<file path=customXml/itemProps3.xml><?xml version="1.0" encoding="utf-8"?>
<ds:datastoreItem xmlns:ds="http://schemas.openxmlformats.org/officeDocument/2006/customXml" ds:itemID="{2737DE60-5858-48E6-9048-9C9CC925BF6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CC883D1-0E45-44B9-BD25-66A500E55DD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21</vt:i4>
      </vt:variant>
    </vt:vector>
  </HeadingPairs>
  <TitlesOfParts>
    <vt:vector size="37" baseType="lpstr">
      <vt:lpstr>Config</vt:lpstr>
      <vt:lpstr>Capa</vt:lpstr>
      <vt:lpstr>Folhas</vt:lpstr>
      <vt:lpstr>Lista</vt:lpstr>
      <vt:lpstr>FD53</vt:lpstr>
      <vt:lpstr>FD54</vt:lpstr>
      <vt:lpstr>FD56</vt:lpstr>
      <vt:lpstr>FD59</vt:lpstr>
      <vt:lpstr>FD61</vt:lpstr>
      <vt:lpstr>FD62</vt:lpstr>
      <vt:lpstr>FD63</vt:lpstr>
      <vt:lpstr>FD67</vt:lpstr>
      <vt:lpstr>FD68</vt:lpstr>
      <vt:lpstr>FD69</vt:lpstr>
      <vt:lpstr>FD70</vt:lpstr>
      <vt:lpstr>FD72</vt:lpstr>
      <vt:lpstr>Capa!Area_de_impressao</vt:lpstr>
      <vt:lpstr>'FD53'!Area_de_impressao</vt:lpstr>
      <vt:lpstr>'FD54'!Area_de_impressao</vt:lpstr>
      <vt:lpstr>'FD56'!Area_de_impressao</vt:lpstr>
      <vt:lpstr>'FD59'!Area_de_impressao</vt:lpstr>
      <vt:lpstr>'FD61'!Area_de_impressao</vt:lpstr>
      <vt:lpstr>'FD62'!Area_de_impressao</vt:lpstr>
      <vt:lpstr>'FD63'!Area_de_impressao</vt:lpstr>
      <vt:lpstr>'FD67'!Area_de_impressao</vt:lpstr>
      <vt:lpstr>'FD68'!Area_de_impressao</vt:lpstr>
      <vt:lpstr>'FD69'!Area_de_impressao</vt:lpstr>
      <vt:lpstr>'FD70'!Area_de_impressao</vt:lpstr>
      <vt:lpstr>'FD72'!Area_de_impressao</vt:lpstr>
      <vt:lpstr>Folhas!Area_de_impressao</vt:lpstr>
      <vt:lpstr>Lista!Area_de_impressao</vt:lpstr>
      <vt:lpstr>LogoClienteCapa</vt:lpstr>
      <vt:lpstr>LogoClienteFolha</vt:lpstr>
      <vt:lpstr>LogoTechnikCapa</vt:lpstr>
      <vt:lpstr>LogoTechnikFolha</vt:lpstr>
      <vt:lpstr>NomeDoc</vt:lpstr>
      <vt:lpstr>Folhas!Titulos_de_impressao</vt:lpstr>
    </vt:vector>
  </TitlesOfParts>
  <Manager>Paulo Guilherme</Manager>
  <Company>Spirax Sarco Indústria e Comércio Ltda.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Folha de dados</dc:title>
  <dc:subject>Especificação Técnica</dc:subject>
  <dc:creator>Magnus Miranda</dc:creator>
  <cp:keywords/>
  <dc:description/>
  <cp:lastModifiedBy>Hugo Lima</cp:lastModifiedBy>
  <cp:revision>1</cp:revision>
  <cp:lastPrinted>2023-09-19T13:27:35Z</cp:lastPrinted>
  <dcterms:created xsi:type="dcterms:W3CDTF">2003-05-29T16:20:59Z</dcterms:created>
  <dcterms:modified xsi:type="dcterms:W3CDTF">2023-09-20T12:56:51Z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