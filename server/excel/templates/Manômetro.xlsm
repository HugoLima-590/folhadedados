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technikgrupo.sharepoint.com/sites/ControlePropostas/Documentos Compartilhados/4. CONTROLE DE PROPOSTAS/1. MODELOS/Folha de dados/FD/"/>
    </mc:Choice>
  </mc:AlternateContent>
  <xr:revisionPtr revIDLastSave="222" documentId="8_{4361B64A-F634-4BBD-AEED-B532E81D04F3}" xr6:coauthVersionLast="47" xr6:coauthVersionMax="47" xr10:uidLastSave="{E956F4F6-0625-4697-ACFC-90DB2254B740}"/>
  <bookViews>
    <workbookView xWindow="-108" yWindow="-108" windowWidth="23256" windowHeight="12576" tabRatio="798" firstSheet="1" activeTab="2" xr2:uid="{00000000-000D-0000-FFFF-FFFF00000000}"/>
  </bookViews>
  <sheets>
    <sheet name="Config" sheetId="34" state="hidden" r:id="rId1"/>
    <sheet name="Capa" sheetId="35" r:id="rId2"/>
    <sheet name="Folhas" sheetId="32" r:id="rId3"/>
  </sheets>
  <definedNames>
    <definedName name="_xlnm.Print_Area" localSheetId="1">Capa!$A$1:$O$86</definedName>
    <definedName name="_xlnm.Print_Area" localSheetId="2">Folhas!$A$1:$AT$76</definedName>
    <definedName name="LogoClienteCapa" localSheetId="1">Capa!$A$1:$C$4</definedName>
    <definedName name="LogoClienteCapa" localSheetId="0">#REF!</definedName>
    <definedName name="LogoClienteFolha" localSheetId="2">Folhas!$A$1:$J$2</definedName>
    <definedName name="LogoTechnikCapa" localSheetId="1">Capa!$A$5:$C$8</definedName>
    <definedName name="LogoTechnikCapa" localSheetId="0">#REF!</definedName>
    <definedName name="LogoTechnikFolha" localSheetId="2">Folhas!$A$3:$J$4</definedName>
    <definedName name="NomeDoc">Capa!$J$1</definedName>
    <definedName name="_xlnm.Print_Titles" localSheetId="2">Folhas!$1:$4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2" l="1"/>
  <c r="A3" i="32"/>
  <c r="A1" i="35"/>
  <c r="A5" i="35"/>
  <c r="Z1" i="32" l="1"/>
  <c r="D83" i="35" a="1"/>
  <c r="D83" i="35" s="1"/>
  <c r="E5" i="35"/>
  <c r="E3" i="35"/>
  <c r="J1" i="35"/>
  <c r="D82" i="3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<sst xmlns="http://schemas.openxmlformats.org/spreadsheetml/2006/main" count="260" uniqueCount="187">
  <si>
    <t>FOLHA DE DADOS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</si>
  <si>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</si>
  <si>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</si>
  <si>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</si>
  <si>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</si>
  <si>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</si>
  <si>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</si>
  <si>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</si>
  <si>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</si>
  <si>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</si>
  <si>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</si>
  <si>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</si>
  <si>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</si>
  <si>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</si>
  <si>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</si>
  <si>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Nº.:</t>
  </si>
  <si>
    <t>ÁREA:</t>
  </si>
  <si>
    <t>2</t>
  </si>
  <si>
    <t>MANÔMETROS</t>
  </si>
  <si>
    <t xml:space="preserve"> TIPO</t>
  </si>
  <si>
    <t xml:space="preserve"> MEDIÇÃO DIRETA</t>
  </si>
  <si>
    <t xml:space="preserve"> RECEPTOR</t>
  </si>
  <si>
    <t xml:space="preserve"> MONTAGEM</t>
  </si>
  <si>
    <t xml:space="preserve"> SUPERF.</t>
  </si>
  <si>
    <t xml:space="preserve"> LOCAL</t>
  </si>
  <si>
    <t xml:space="preserve"> EMBUTIDO</t>
  </si>
  <si>
    <t xml:space="preserve"> </t>
  </si>
  <si>
    <t xml:space="preserve"> 100 mm</t>
  </si>
  <si>
    <t xml:space="preserve"> 114 mm</t>
  </si>
  <si>
    <t>160 mm</t>
  </si>
  <si>
    <t>3</t>
  </si>
  <si>
    <t>MOSTRADOR</t>
  </si>
  <si>
    <t>NÚMEROS</t>
  </si>
  <si>
    <t xml:space="preserve"> BRANCOS</t>
  </si>
  <si>
    <t xml:space="preserve"> PRETOS</t>
  </si>
  <si>
    <t>VERMELHO PARA VÁCUO</t>
  </si>
  <si>
    <t>FUNDO</t>
  </si>
  <si>
    <t xml:space="preserve"> BRANCO</t>
  </si>
  <si>
    <t xml:space="preserve"> PRETO</t>
  </si>
  <si>
    <t>4</t>
  </si>
  <si>
    <t xml:space="preserve"> MATERIAL DA CAIXA</t>
  </si>
  <si>
    <t xml:space="preserve"> FERRO FUNDIDO</t>
  </si>
  <si>
    <t>AISI 304</t>
  </si>
  <si>
    <t xml:space="preserve"> FENOL</t>
  </si>
  <si>
    <t xml:space="preserve"> OUTRO</t>
  </si>
  <si>
    <t>5</t>
  </si>
  <si>
    <t xml:space="preserve"> ANEL</t>
  </si>
  <si>
    <t xml:space="preserve"> ROSCADO</t>
  </si>
  <si>
    <t>BAIONETA</t>
  </si>
  <si>
    <t>6</t>
  </si>
  <si>
    <t xml:space="preserve"> PROTEÇÃO EXPL. DA CAIXA</t>
  </si>
  <si>
    <t xml:space="preserve"> DISCO</t>
  </si>
  <si>
    <t xml:space="preserve"> NÃO</t>
  </si>
  <si>
    <t>7</t>
  </si>
  <si>
    <t xml:space="preserve"> PRECISÃO (Faixa Total)</t>
  </si>
  <si>
    <t xml:space="preserve"> ± 2 1/2 %</t>
  </si>
  <si>
    <t>8</t>
  </si>
  <si>
    <t xml:space="preserve"> ELEMENTO DE PRESSÃO</t>
  </si>
  <si>
    <t xml:space="preserve"> BOURDON</t>
  </si>
  <si>
    <t xml:space="preserve"> FOLE</t>
  </si>
  <si>
    <t xml:space="preserve"> DIAFRAGMA</t>
  </si>
  <si>
    <t>9</t>
  </si>
  <si>
    <t xml:space="preserve"> MATERIAL DO ELEMENTO</t>
  </si>
  <si>
    <t>LATÃO</t>
  </si>
  <si>
    <t xml:space="preserve"> AISI 316</t>
  </si>
  <si>
    <t xml:space="preserve"> AÇO</t>
  </si>
  <si>
    <t>10</t>
  </si>
  <si>
    <t xml:space="preserve"> MATERIAL DO SOQUETE</t>
  </si>
  <si>
    <t>11</t>
  </si>
  <si>
    <t xml:space="preserve"> CONEXÃO</t>
  </si>
  <si>
    <t xml:space="preserve"> 1/4" NPT</t>
  </si>
  <si>
    <t xml:space="preserve"> 1/2" NPT</t>
  </si>
  <si>
    <t xml:space="preserve"> INFERIOR</t>
  </si>
  <si>
    <t xml:space="preserve"> TRASEIRA</t>
  </si>
  <si>
    <t>12</t>
  </si>
  <si>
    <t xml:space="preserve"> MECANISMO</t>
  </si>
  <si>
    <t xml:space="preserve"> BRONZE</t>
  </si>
  <si>
    <t xml:space="preserve"> AISI 304</t>
  </si>
  <si>
    <t xml:space="preserve"> NYLON</t>
  </si>
  <si>
    <t>13</t>
  </si>
  <si>
    <t xml:space="preserve"> AJUSTE MICROMÉTRICO</t>
  </si>
  <si>
    <t xml:space="preserve"> SIM</t>
  </si>
  <si>
    <t xml:space="preserve"> MAT. DIAFRGAMA</t>
  </si>
  <si>
    <t xml:space="preserve"> AISI 316L</t>
  </si>
  <si>
    <t>TANTALO</t>
  </si>
  <si>
    <t xml:space="preserve"> MAT. FLG. SUPER.</t>
  </si>
  <si>
    <t>AISI 1020 NIQUELADO</t>
  </si>
  <si>
    <t>14</t>
  </si>
  <si>
    <t>SÊLO DIAFR.</t>
  </si>
  <si>
    <t xml:space="preserve"> MAT. FLG. INFER.</t>
  </si>
  <si>
    <t xml:space="preserve"> CONEXÃO PROCES.</t>
  </si>
  <si>
    <t xml:space="preserve"> 1" NPT</t>
  </si>
  <si>
    <t>3/4" TC</t>
  </si>
  <si>
    <t xml:space="preserve"> 3" 150# RF</t>
  </si>
  <si>
    <t xml:space="preserve"> ENCHIMENTO</t>
  </si>
  <si>
    <t xml:space="preserve"> SILICONE</t>
  </si>
  <si>
    <t xml:space="preserve"> GLICERINA</t>
  </si>
  <si>
    <t>ETILENO GLICOL + AGUA</t>
  </si>
  <si>
    <t>15</t>
  </si>
  <si>
    <t xml:space="preserve"> TUBO SIFÃO</t>
  </si>
  <si>
    <t xml:space="preserve"> 1/2" NPT / PTA LISA</t>
  </si>
  <si>
    <t>AISI 316</t>
  </si>
  <si>
    <t>AC Sch 40 - TIPO TROMBETA</t>
  </si>
  <si>
    <t>16</t>
  </si>
  <si>
    <t xml:space="preserve"> ENCHIMENTO DA CAIXA</t>
  </si>
  <si>
    <t>17</t>
  </si>
  <si>
    <t xml:space="preserve"> AMORTECEDOR DE PULSAÇÃO</t>
  </si>
  <si>
    <t>18</t>
  </si>
  <si>
    <t xml:space="preserve"> PROTETOR DE SOBREPRESSÃO</t>
  </si>
  <si>
    <t>19</t>
  </si>
  <si>
    <t xml:space="preserve"> IDENTIFICAÇÃO</t>
  </si>
  <si>
    <t>20</t>
  </si>
  <si>
    <t xml:space="preserve"> SERVIÇO</t>
  </si>
  <si>
    <t>21</t>
  </si>
  <si>
    <t xml:space="preserve"> FAIXA ESCALA</t>
  </si>
  <si>
    <t>22</t>
  </si>
  <si>
    <t xml:space="preserve"> FLUIDO</t>
  </si>
  <si>
    <t>23</t>
  </si>
  <si>
    <t xml:space="preserve"> PRES. OPERAÇÃO</t>
  </si>
  <si>
    <t>PRES. MÁXIMA</t>
  </si>
  <si>
    <t>24</t>
  </si>
  <si>
    <t xml:space="preserve"> TEMP. OPERAÇÃO</t>
  </si>
  <si>
    <t>TEMP.MÁXIMA</t>
  </si>
  <si>
    <t>25</t>
  </si>
  <si>
    <t xml:space="preserve"> VISCOS.OPERAÇÃO</t>
  </si>
  <si>
    <t>VISC. @ Tamb</t>
  </si>
  <si>
    <t>-</t>
  </si>
  <si>
    <t>26</t>
  </si>
  <si>
    <t>DENSIDADE  A  Top</t>
  </si>
  <si>
    <t>27</t>
  </si>
  <si>
    <t xml:space="preserve"> FABRICANTE 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</si>
  <si>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</si>
  <si>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</si>
  <si>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</si>
  <si>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</si>
  <si>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</si>
  <si>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</si>
  <si>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</si>
  <si>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</si>
  <si>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</si>
  <si>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DENSIDADE RELATIVA A TE 20 ºC</t>
  </si>
  <si>
    <t>37</t>
  </si>
  <si>
    <t>38</t>
  </si>
  <si>
    <t>39</t>
  </si>
  <si>
    <t xml:space="preserve"> UNIDADES:</t>
  </si>
  <si>
    <t>PRESSÃO (kgf/cm²g)</t>
  </si>
  <si>
    <t>TEMPERATURA (ºC)</t>
  </si>
  <si>
    <t>VISCOSIDADE (cP)</t>
  </si>
  <si>
    <t>NOTAS</t>
  </si>
  <si>
    <t>FOLHA DE DADOS DE MANÔMETRO</t>
  </si>
  <si>
    <t>MCM</t>
  </si>
  <si>
    <t>NÃO</t>
  </si>
  <si>
    <t>N/A</t>
  </si>
  <si>
    <t>Tancado 21</t>
  </si>
  <si>
    <t>DIÂMETRO</t>
  </si>
  <si>
    <t>PI-2167.1</t>
  </si>
  <si>
    <t>MANÔMETRO DA BOMBA 2167A</t>
  </si>
  <si>
    <t>PI-2167.2</t>
  </si>
  <si>
    <t>MANÔMETRO DA BOMBA 2167B</t>
  </si>
  <si>
    <t>0 a 15 kgf/cm²g</t>
  </si>
  <si>
    <t>CICLOHEXANONA</t>
  </si>
  <si>
    <t>MANÔMETRO DA BOMBA 2168A</t>
  </si>
  <si>
    <t>PI-2168.1</t>
  </si>
  <si>
    <t>SOLVENTE AROMÁTICO 230</t>
  </si>
  <si>
    <t>PI-2168.2</t>
  </si>
  <si>
    <t>MANÔMETRO DA BOMBA 2168B</t>
  </si>
  <si>
    <t>ÁLCOOL CETIL</t>
  </si>
  <si>
    <t>PI-2171.2</t>
  </si>
  <si>
    <t>MANÔMETRO DA BOMBA 2171B</t>
  </si>
  <si>
    <t>PI-2171.1</t>
  </si>
  <si>
    <t>MANÔMETRO DA BOMBA 2171A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</si>
  <si>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</si>
  <si>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</si>
  <si>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</si>
  <si>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</si>
  <si>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</si>
  <si>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</si>
  <si>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</si>
  <si>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</si>
  <si>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</si>
  <si>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N°</t>
  </si>
  <si>
    <t>GERAL</t>
  </si>
  <si>
    <t>EMISSÃO INICIAL</t>
  </si>
  <si>
    <t>TSP</t>
  </si>
  <si>
    <r>
      <t xml:space="preserve">VERIFICAÇÃO / </t>
    </r>
    <r>
      <rPr>
        <i/>
        <sz val="8"/>
        <rFont val="Arial"/>
        <family val="2"/>
      </rPr>
      <t>Verified by</t>
    </r>
  </si>
  <si>
    <t>JM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</si>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</sst>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7"/>
      <name val="Symbol"/>
      <family val="1"/>
      <charset val="2"/>
    </font>
    <font>
      <b/>
      <i/>
      <sz val="12"/>
      <name val="Times New Roman"/>
      <family val="1"/>
    </font>
    <font>
      <b/>
      <sz val="12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11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  <font>
      <sz val="6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10"/>
      <color rgb="FFFF0000"/>
      <name val="Arial"/>
      <family val="2"/>
    </font>
    <font>
      <u/>
      <sz val="10"/>
      <color theme="10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9" fillId="0" borderId="0" applyNumberFormat="0" applyFill="0" applyBorder="0" applyAlignment="0" applyProtection="0"/>
  </cellStyleXfs>
  <cellXfs count="249">
    <xf numFmtId="0" fontId="0" fillId="0" borderId="0" xfId="0"/>
    <xf numFmtId="49" fontId="2" fillId="0" borderId="1" xfId="0" applyNumberFormat="1" applyFont="1" applyBorder="1"/>
    <xf numFmtId="49" fontId="2" fillId="0" borderId="2" xfId="0" applyNumberFormat="1" applyFont="1" applyBorder="1"/>
    <xf numFmtId="49" fontId="4" fillId="0" borderId="2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/>
    </xf>
    <xf numFmtId="49" fontId="2" fillId="0" borderId="3" xfId="0" applyNumberFormat="1" applyFont="1" applyBorder="1"/>
    <xf numFmtId="49" fontId="2" fillId="0" borderId="4" xfId="0" applyNumberFormat="1" applyFont="1" applyBorder="1"/>
    <xf numFmtId="49" fontId="2" fillId="0" borderId="5" xfId="0" applyNumberFormat="1" applyFont="1" applyBorder="1" applyAlignment="1">
      <alignment horizontal="centerContinuous"/>
    </xf>
    <xf numFmtId="49" fontId="2" fillId="0" borderId="6" xfId="0" applyNumberFormat="1" applyFont="1" applyBorder="1" applyAlignment="1">
      <alignment horizontal="centerContinuous"/>
    </xf>
    <xf numFmtId="49" fontId="4" fillId="0" borderId="5" xfId="0" applyNumberFormat="1" applyFont="1" applyBorder="1"/>
    <xf numFmtId="49" fontId="4" fillId="0" borderId="6" xfId="0" applyNumberFormat="1" applyFont="1" applyBorder="1"/>
    <xf numFmtId="49" fontId="4" fillId="0" borderId="6" xfId="0" applyNumberFormat="1" applyFont="1" applyBorder="1" applyAlignment="1">
      <alignment horizontal="center"/>
    </xf>
    <xf numFmtId="49" fontId="2" fillId="0" borderId="4" xfId="0" applyNumberFormat="1" applyFont="1" applyBorder="1" applyAlignment="1">
      <alignment horizontal="centerContinuous"/>
    </xf>
    <xf numFmtId="49" fontId="4" fillId="0" borderId="4" xfId="0" applyNumberFormat="1" applyFont="1" applyBorder="1"/>
    <xf numFmtId="49" fontId="5" fillId="0" borderId="5" xfId="0" quotePrefix="1" applyNumberFormat="1" applyFont="1" applyBorder="1" applyAlignment="1">
      <alignment horizontal="left"/>
    </xf>
    <xf numFmtId="49" fontId="4" fillId="0" borderId="5" xfId="0" applyNumberFormat="1" applyFont="1" applyBorder="1" applyAlignment="1">
      <alignment horizontal="left"/>
    </xf>
    <xf numFmtId="49" fontId="4" fillId="0" borderId="5" xfId="0" quotePrefix="1" applyNumberFormat="1" applyFont="1" applyBorder="1"/>
    <xf numFmtId="49" fontId="2" fillId="0" borderId="7" xfId="0" applyNumberFormat="1" applyFont="1" applyBorder="1"/>
    <xf numFmtId="49" fontId="2" fillId="0" borderId="8" xfId="0" applyNumberFormat="1" applyFont="1" applyBorder="1"/>
    <xf numFmtId="49" fontId="2" fillId="0" borderId="1" xfId="0" applyNumberFormat="1" applyFont="1" applyBorder="1" applyAlignment="1">
      <alignment horizontal="centerContinuous"/>
    </xf>
    <xf numFmtId="49" fontId="2" fillId="0" borderId="8" xfId="0" applyNumberFormat="1" applyFont="1" applyBorder="1" applyAlignment="1">
      <alignment horizontal="centerContinuous"/>
    </xf>
    <xf numFmtId="49" fontId="4" fillId="0" borderId="1" xfId="0" applyNumberFormat="1" applyFont="1" applyBorder="1"/>
    <xf numFmtId="49" fontId="4" fillId="0" borderId="8" xfId="0" applyNumberFormat="1" applyFont="1" applyBorder="1"/>
    <xf numFmtId="49" fontId="4" fillId="0" borderId="8" xfId="0" applyNumberFormat="1" applyFont="1" applyBorder="1" applyAlignment="1">
      <alignment horizontal="center"/>
    </xf>
    <xf numFmtId="49" fontId="4" fillId="0" borderId="5" xfId="0" quotePrefix="1" applyNumberFormat="1" applyFont="1" applyBorder="1" applyAlignment="1">
      <alignment horizontal="left"/>
    </xf>
    <xf numFmtId="49" fontId="4" fillId="0" borderId="6" xfId="0" quotePrefix="1" applyNumberFormat="1" applyFont="1" applyBorder="1" applyAlignment="1">
      <alignment horizontal="center"/>
    </xf>
    <xf numFmtId="49" fontId="2" fillId="0" borderId="9" xfId="0" applyNumberFormat="1" applyFont="1" applyBorder="1" applyAlignment="1">
      <alignment horizontal="centerContinuous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Continuous"/>
    </xf>
    <xf numFmtId="49" fontId="2" fillId="0" borderId="10" xfId="0" applyNumberFormat="1" applyFont="1" applyBorder="1"/>
    <xf numFmtId="49" fontId="2" fillId="0" borderId="2" xfId="0" applyNumberFormat="1" applyFont="1" applyBorder="1" applyAlignment="1">
      <alignment horizontal="centerContinuous"/>
    </xf>
    <xf numFmtId="49" fontId="4" fillId="0" borderId="2" xfId="0" applyNumberFormat="1" applyFont="1" applyBorder="1"/>
    <xf numFmtId="49" fontId="4" fillId="0" borderId="2" xfId="0" applyNumberFormat="1" applyFont="1" applyBorder="1" applyAlignment="1">
      <alignment horizontal="center"/>
    </xf>
    <xf numFmtId="49" fontId="4" fillId="0" borderId="2" xfId="0" applyNumberFormat="1" applyFont="1" applyBorder="1" applyAlignment="1">
      <alignment horizontal="centerContinuous"/>
    </xf>
    <xf numFmtId="49" fontId="2" fillId="0" borderId="12" xfId="0" applyNumberFormat="1" applyFont="1" applyBorder="1" applyAlignment="1">
      <alignment horizontal="centerContinuous"/>
    </xf>
    <xf numFmtId="49" fontId="4" fillId="0" borderId="13" xfId="0" applyNumberFormat="1" applyFont="1" applyBorder="1" applyAlignment="1">
      <alignment horizontal="center"/>
    </xf>
    <xf numFmtId="49" fontId="2" fillId="0" borderId="14" xfId="0" applyNumberFormat="1" applyFont="1" applyBorder="1" applyAlignment="1">
      <alignment horizontal="centerContinuous"/>
    </xf>
    <xf numFmtId="49" fontId="4" fillId="0" borderId="15" xfId="0" applyNumberFormat="1" applyFont="1" applyBorder="1" applyAlignment="1">
      <alignment horizontal="center"/>
    </xf>
    <xf numFmtId="49" fontId="4" fillId="0" borderId="16" xfId="0" applyNumberFormat="1" applyFont="1" applyBorder="1" applyAlignment="1">
      <alignment horizontal="center"/>
    </xf>
    <xf numFmtId="49" fontId="4" fillId="0" borderId="1" xfId="0" quotePrefix="1" applyNumberFormat="1" applyFont="1" applyBorder="1" applyAlignment="1">
      <alignment horizontal="left"/>
    </xf>
    <xf numFmtId="49" fontId="2" fillId="0" borderId="17" xfId="0" applyNumberFormat="1" applyFont="1" applyBorder="1"/>
    <xf numFmtId="49" fontId="2" fillId="0" borderId="18" xfId="0" applyNumberFormat="1" applyFont="1" applyBorder="1"/>
    <xf numFmtId="49" fontId="2" fillId="0" borderId="19" xfId="0" applyNumberFormat="1" applyFont="1" applyBorder="1" applyAlignment="1">
      <alignment horizontal="centerContinuous"/>
    </xf>
    <xf numFmtId="49" fontId="2" fillId="0" borderId="18" xfId="0" applyNumberFormat="1" applyFont="1" applyBorder="1" applyAlignment="1">
      <alignment horizontal="centerContinuous"/>
    </xf>
    <xf numFmtId="49" fontId="2" fillId="0" borderId="20" xfId="0" applyNumberFormat="1" applyFont="1" applyBorder="1"/>
    <xf numFmtId="49" fontId="0" fillId="0" borderId="20" xfId="0" applyNumberFormat="1" applyBorder="1"/>
    <xf numFmtId="49" fontId="3" fillId="0" borderId="3" xfId="0" applyNumberFormat="1" applyFont="1" applyBorder="1"/>
    <xf numFmtId="49" fontId="2" fillId="0" borderId="3" xfId="0" applyNumberFormat="1" applyFont="1" applyBorder="1" applyAlignment="1">
      <alignment horizontal="left" vertical="center"/>
    </xf>
    <xf numFmtId="49" fontId="2" fillId="0" borderId="21" xfId="0" applyNumberFormat="1" applyFont="1" applyBorder="1"/>
    <xf numFmtId="49" fontId="2" fillId="0" borderId="22" xfId="0" applyNumberFormat="1" applyFont="1" applyBorder="1"/>
    <xf numFmtId="49" fontId="2" fillId="0" borderId="23" xfId="0" applyNumberFormat="1" applyFont="1" applyBorder="1" applyAlignment="1">
      <alignment horizontal="centerContinuous"/>
    </xf>
    <xf numFmtId="49" fontId="2" fillId="0" borderId="24" xfId="0" applyNumberFormat="1" applyFont="1" applyBorder="1" applyAlignment="1">
      <alignment horizontal="centerContinuous"/>
    </xf>
    <xf numFmtId="49" fontId="4" fillId="0" borderId="25" xfId="0" applyNumberFormat="1" applyFont="1" applyBorder="1" applyAlignment="1">
      <alignment horizontal="left"/>
    </xf>
    <xf numFmtId="49" fontId="4" fillId="0" borderId="25" xfId="0" applyNumberFormat="1" applyFont="1" applyBorder="1"/>
    <xf numFmtId="49" fontId="4" fillId="0" borderId="26" xfId="0" applyNumberFormat="1" applyFont="1" applyBorder="1" applyAlignment="1">
      <alignment horizontal="center"/>
    </xf>
    <xf numFmtId="49" fontId="2" fillId="0" borderId="27" xfId="0" applyNumberFormat="1" applyFont="1" applyBorder="1" applyAlignment="1">
      <alignment horizontal="centerContinuous"/>
    </xf>
    <xf numFmtId="49" fontId="2" fillId="0" borderId="28" xfId="0" applyNumberFormat="1" applyFont="1" applyBorder="1" applyAlignment="1">
      <alignment horizontal="centerContinuous"/>
    </xf>
    <xf numFmtId="49" fontId="4" fillId="0" borderId="2" xfId="0" quotePrefix="1" applyNumberFormat="1" applyFont="1" applyBorder="1" applyAlignment="1">
      <alignment horizontal="left"/>
    </xf>
    <xf numFmtId="49" fontId="4" fillId="0" borderId="29" xfId="0" applyNumberFormat="1" applyFont="1" applyBorder="1" applyAlignment="1">
      <alignment horizontal="center"/>
    </xf>
    <xf numFmtId="49" fontId="0" fillId="0" borderId="1" xfId="0" applyNumberFormat="1" applyBorder="1"/>
    <xf numFmtId="0" fontId="2" fillId="0" borderId="43" xfId="1" applyFont="1" applyBorder="1" applyAlignment="1">
      <alignment horizontal="center" vertical="center"/>
    </xf>
    <xf numFmtId="14" fontId="2" fillId="0" borderId="43" xfId="1" applyNumberFormat="1" applyFont="1" applyBorder="1" applyAlignment="1">
      <alignment horizontal="center" vertical="center"/>
    </xf>
    <xf numFmtId="0" fontId="2" fillId="0" borderId="43" xfId="1" applyFont="1" applyBorder="1" applyAlignment="1">
      <alignment vertical="center"/>
    </xf>
    <xf numFmtId="0" fontId="2" fillId="0" borderId="53" xfId="1" applyFont="1" applyBorder="1" applyAlignment="1">
      <alignment vertical="center"/>
    </xf>
    <xf numFmtId="49" fontId="4" fillId="0" borderId="6" xfId="0" applyNumberFormat="1" applyFont="1" applyBorder="1" applyAlignment="1">
      <alignment wrapText="1"/>
    </xf>
    <xf numFmtId="49" fontId="4" fillId="0" borderId="63" xfId="0" applyNumberFormat="1" applyFont="1" applyBorder="1"/>
    <xf numFmtId="49" fontId="4" fillId="0" borderId="44" xfId="0" applyNumberFormat="1" applyFont="1" applyBorder="1"/>
    <xf numFmtId="49" fontId="4" fillId="0" borderId="50" xfId="0" applyNumberFormat="1" applyFont="1" applyBorder="1"/>
    <xf numFmtId="49" fontId="0" fillId="0" borderId="44" xfId="0" applyNumberFormat="1" applyBorder="1"/>
    <xf numFmtId="49" fontId="0" fillId="0" borderId="62" xfId="0" applyNumberFormat="1" applyBorder="1"/>
    <xf numFmtId="49" fontId="0" fillId="0" borderId="48" xfId="0" applyNumberFormat="1" applyBorder="1"/>
    <xf numFmtId="49" fontId="4" fillId="2" borderId="4" xfId="0" applyNumberFormat="1" applyFont="1" applyFill="1" applyBorder="1"/>
    <xf numFmtId="49" fontId="4" fillId="2" borderId="5" xfId="0" applyNumberFormat="1" applyFont="1" applyFill="1" applyBorder="1"/>
    <xf numFmtId="49" fontId="4" fillId="2" borderId="6" xfId="0" applyNumberFormat="1" applyFont="1" applyFill="1" applyBorder="1"/>
    <xf numFmtId="49" fontId="2" fillId="2" borderId="6" xfId="0" applyNumberFormat="1" applyFont="1" applyFill="1" applyBorder="1" applyAlignment="1">
      <alignment horizontal="centerContinuous"/>
    </xf>
    <xf numFmtId="0" fontId="17" fillId="0" borderId="3" xfId="1" applyFont="1" applyBorder="1" applyAlignment="1">
      <alignment horizontal="center" vertical="center" wrapText="1"/>
    </xf>
    <xf numFmtId="49" fontId="0" fillId="2" borderId="48" xfId="0" applyNumberFormat="1" applyFill="1" applyBorder="1" applyAlignment="1">
      <alignment horizontal="center"/>
    </xf>
    <xf numFmtId="49" fontId="4" fillId="0" borderId="23" xfId="0" applyNumberFormat="1" applyFont="1" applyBorder="1" applyAlignment="1">
      <alignment horizontal="center"/>
    </xf>
    <xf numFmtId="49" fontId="4" fillId="0" borderId="12" xfId="0" applyNumberFormat="1" applyFont="1" applyBorder="1" applyAlignment="1">
      <alignment horizontal="center"/>
    </xf>
    <xf numFmtId="49" fontId="4" fillId="0" borderId="14" xfId="0" applyNumberFormat="1" applyFont="1" applyBorder="1" applyAlignment="1">
      <alignment horizontal="center"/>
    </xf>
    <xf numFmtId="49" fontId="4" fillId="0" borderId="9" xfId="0" applyNumberFormat="1" applyFont="1" applyBorder="1" applyAlignment="1">
      <alignment horizontal="center"/>
    </xf>
    <xf numFmtId="49" fontId="4" fillId="0" borderId="27" xfId="0" applyNumberFormat="1" applyFont="1" applyBorder="1" applyAlignment="1">
      <alignment horizontal="center"/>
    </xf>
    <xf numFmtId="0" fontId="2" fillId="0" borderId="0" xfId="1" applyFont="1" applyAlignment="1">
      <alignment vertical="center"/>
    </xf>
    <xf numFmtId="0" fontId="2" fillId="0" borderId="80" xfId="1" applyFont="1" applyBorder="1" applyAlignment="1">
      <alignment horizontal="center" vertical="center"/>
    </xf>
    <xf numFmtId="0" fontId="2" fillId="0" borderId="80" xfId="1" applyFont="1" applyBorder="1" applyAlignment="1">
      <alignment vertical="center"/>
    </xf>
    <xf numFmtId="0" fontId="2" fillId="0" borderId="81" xfId="1" applyFont="1" applyBorder="1" applyAlignment="1">
      <alignment vertical="center"/>
    </xf>
    <xf numFmtId="0" fontId="17" fillId="0" borderId="48" xfId="1" applyFont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16" fontId="2" fillId="0" borderId="43" xfId="1" applyNumberFormat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49" fontId="2" fillId="0" borderId="0" xfId="0" applyNumberFormat="1" applyFont="1" applyAlignment="1">
      <alignment horizontal="centerContinuous"/>
    </xf>
    <xf numFmtId="49" fontId="4" fillId="0" borderId="0" xfId="0" applyNumberFormat="1" applyFont="1"/>
    <xf numFmtId="49" fontId="4" fillId="2" borderId="0" xfId="0" applyNumberFormat="1" applyFont="1" applyFill="1" applyAlignment="1">
      <alignment horizontal="left"/>
    </xf>
    <xf numFmtId="49" fontId="4" fillId="2" borderId="0" xfId="0" applyNumberFormat="1" applyFont="1" applyFill="1"/>
    <xf numFmtId="49" fontId="4" fillId="2" borderId="0" xfId="0" quotePrefix="1" applyNumberFormat="1" applyFont="1" applyFill="1" applyAlignment="1">
      <alignment horizontal="left"/>
    </xf>
    <xf numFmtId="49" fontId="2" fillId="0" borderId="0" xfId="0" applyNumberFormat="1" applyFont="1"/>
    <xf numFmtId="49" fontId="4" fillId="0" borderId="0" xfId="0" applyNumberFormat="1" applyFont="1" applyAlignment="1">
      <alignment horizontal="left"/>
    </xf>
    <xf numFmtId="49" fontId="2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49" fontId="2" fillId="0" borderId="0" xfId="0" quotePrefix="1" applyNumberFormat="1" applyFont="1" applyAlignment="1">
      <alignment horizontal="left"/>
    </xf>
    <xf numFmtId="49" fontId="2" fillId="0" borderId="0" xfId="0" applyNumberFormat="1" applyFont="1" applyAlignment="1">
      <alignment wrapText="1"/>
    </xf>
    <xf numFmtId="49" fontId="2" fillId="0" borderId="0" xfId="0" applyNumberFormat="1" applyFont="1" applyAlignment="1">
      <alignment horizontal="left"/>
    </xf>
    <xf numFmtId="0" fontId="0" fillId="0" borderId="48" xfId="0" applyBorder="1"/>
    <xf numFmtId="0" fontId="0" fillId="0" borderId="3" xfId="0" applyBorder="1"/>
    <xf numFmtId="0" fontId="0" fillId="0" borderId="10" xfId="0" applyBorder="1"/>
    <xf numFmtId="0" fontId="0" fillId="0" borderId="2" xfId="0" applyBorder="1"/>
    <xf numFmtId="0" fontId="0" fillId="0" borderId="50" xfId="0" applyBorder="1"/>
    <xf numFmtId="0" fontId="19" fillId="0" borderId="0" xfId="2"/>
    <xf numFmtId="0" fontId="17" fillId="0" borderId="0" xfId="1" applyFont="1" applyAlignment="1">
      <alignment horizontal="left" vertical="center" wrapText="1"/>
    </xf>
    <xf numFmtId="0" fontId="17" fillId="0" borderId="3" xfId="1" applyFont="1" applyBorder="1" applyAlignment="1">
      <alignment horizontal="center" vertical="center" wrapText="1"/>
    </xf>
    <xf numFmtId="0" fontId="17" fillId="0" borderId="0" xfId="1" applyFont="1" applyAlignment="1">
      <alignment horizontal="left" vertical="center" wrapText="1"/>
    </xf>
    <xf numFmtId="0" fontId="17" fillId="0" borderId="48" xfId="1" applyFont="1" applyBorder="1" applyAlignment="1">
      <alignment horizontal="left" vertical="center" wrapText="1"/>
    </xf>
    <xf numFmtId="0" fontId="17" fillId="0" borderId="48" xfId="1" applyFont="1" applyBorder="1" applyAlignment="1">
      <alignment horizontal="center" vertical="center" wrapText="1"/>
    </xf>
    <xf numFmtId="0" fontId="14" fillId="0" borderId="54" xfId="1" applyFont="1" applyBorder="1" applyAlignment="1">
      <alignment horizontal="center" vertical="center" wrapText="1"/>
    </xf>
    <xf numFmtId="0" fontId="14" fillId="0" borderId="40" xfId="1" applyFont="1" applyBorder="1" applyAlignment="1">
      <alignment horizontal="center" vertical="center" wrapText="1"/>
    </xf>
    <xf numFmtId="0" fontId="14" fillId="0" borderId="83" xfId="1" applyFont="1" applyBorder="1" applyAlignment="1">
      <alignment horizontal="center" vertical="center" wrapText="1"/>
    </xf>
    <xf numFmtId="0" fontId="14" fillId="0" borderId="52" xfId="1" applyFont="1" applyBorder="1" applyAlignment="1">
      <alignment horizontal="center" vertical="center" wrapText="1"/>
    </xf>
    <xf numFmtId="0" fontId="14" fillId="0" borderId="53" xfId="1" applyFont="1" applyBorder="1" applyAlignment="1">
      <alignment horizontal="center" vertical="center" wrapText="1"/>
    </xf>
    <xf numFmtId="0" fontId="14" fillId="0" borderId="81" xfId="1" applyFont="1" applyBorder="1" applyAlignment="1">
      <alignment horizontal="center" vertical="center" wrapText="1"/>
    </xf>
    <xf numFmtId="0" fontId="2" fillId="0" borderId="55" xfId="1" applyFont="1" applyBorder="1" applyAlignment="1">
      <alignment horizontal="left" vertical="center"/>
    </xf>
    <xf numFmtId="0" fontId="2" fillId="0" borderId="56" xfId="1" applyFont="1" applyBorder="1" applyAlignment="1">
      <alignment horizontal="left" vertical="center"/>
    </xf>
    <xf numFmtId="0" fontId="2" fillId="0" borderId="57" xfId="1" applyFont="1" applyBorder="1" applyAlignment="1">
      <alignment horizontal="left" vertical="center"/>
    </xf>
    <xf numFmtId="0" fontId="2" fillId="0" borderId="17" xfId="1" applyFont="1" applyBorder="1" applyAlignment="1">
      <alignment horizontal="left" vertical="center"/>
    </xf>
    <xf numFmtId="0" fontId="2" fillId="0" borderId="20" xfId="1" applyFont="1" applyBorder="1" applyAlignment="1">
      <alignment horizontal="left" vertical="center"/>
    </xf>
    <xf numFmtId="0" fontId="2" fillId="0" borderId="18" xfId="1" applyFont="1" applyBorder="1" applyAlignment="1">
      <alignment horizontal="left" vertical="center"/>
    </xf>
    <xf numFmtId="49" fontId="15" fillId="0" borderId="51" xfId="1" applyNumberFormat="1" applyFont="1" applyBorder="1" applyAlignment="1">
      <alignment horizontal="center" vertical="center" wrapText="1"/>
    </xf>
    <xf numFmtId="49" fontId="15" fillId="0" borderId="52" xfId="1" applyNumberFormat="1" applyFont="1" applyBorder="1" applyAlignment="1">
      <alignment horizontal="center" vertical="center" wrapText="1"/>
    </xf>
    <xf numFmtId="49" fontId="15" fillId="0" borderId="15" xfId="1" applyNumberFormat="1" applyFont="1" applyBorder="1" applyAlignment="1">
      <alignment horizontal="center" vertical="center" wrapText="1"/>
    </xf>
    <xf numFmtId="49" fontId="15" fillId="0" borderId="82" xfId="1" applyNumberFormat="1" applyFont="1" applyBorder="1" applyAlignment="1">
      <alignment horizontal="center" vertical="center" wrapText="1"/>
    </xf>
    <xf numFmtId="49" fontId="15" fillId="0" borderId="53" xfId="1" applyNumberFormat="1" applyFont="1" applyBorder="1" applyAlignment="1">
      <alignment horizontal="center" vertical="center" wrapText="1"/>
    </xf>
    <xf numFmtId="49" fontId="15" fillId="0" borderId="81" xfId="1" applyNumberFormat="1" applyFont="1" applyBorder="1" applyAlignment="1">
      <alignment horizontal="center" vertical="center" wrapText="1"/>
    </xf>
    <xf numFmtId="0" fontId="16" fillId="0" borderId="3" xfId="1" applyFont="1" applyBorder="1" applyAlignment="1">
      <alignment horizontal="center" vertical="center" wrapText="1"/>
    </xf>
    <xf numFmtId="0" fontId="16" fillId="0" borderId="0" xfId="1" applyFont="1" applyAlignment="1">
      <alignment horizontal="left" vertical="center" wrapText="1"/>
    </xf>
    <xf numFmtId="0" fontId="16" fillId="0" borderId="48" xfId="1" applyFont="1" applyBorder="1" applyAlignment="1">
      <alignment horizontal="left" vertical="center" wrapText="1"/>
    </xf>
    <xf numFmtId="0" fontId="2" fillId="0" borderId="21" xfId="1" applyFont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46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7" fillId="0" borderId="40" xfId="1" applyFont="1" applyBorder="1" applyAlignment="1">
      <alignment horizontal="center" vertical="center"/>
    </xf>
    <xf numFmtId="0" fontId="7" fillId="0" borderId="43" xfId="1" applyFont="1" applyBorder="1" applyAlignment="1">
      <alignment horizontal="center" vertical="center"/>
    </xf>
    <xf numFmtId="0" fontId="8" fillId="0" borderId="41" xfId="1" applyFont="1" applyBorder="1" applyAlignment="1">
      <alignment horizontal="left" vertical="top"/>
    </xf>
    <xf numFmtId="0" fontId="8" fillId="0" borderId="14" xfId="1" applyFont="1" applyBorder="1" applyAlignment="1">
      <alignment horizontal="left" vertical="top"/>
    </xf>
    <xf numFmtId="0" fontId="1" fillId="0" borderId="22" xfId="1" applyBorder="1" applyAlignment="1">
      <alignment horizontal="center" vertical="center"/>
    </xf>
    <xf numFmtId="0" fontId="1" fillId="0" borderId="42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44" xfId="1" applyBorder="1" applyAlignment="1">
      <alignment horizontal="center" vertical="center"/>
    </xf>
    <xf numFmtId="0" fontId="2" fillId="0" borderId="19" xfId="1" applyFont="1" applyBorder="1" applyAlignment="1">
      <alignment horizontal="left" vertical="top" wrapText="1"/>
    </xf>
    <xf numFmtId="0" fontId="2" fillId="0" borderId="19" xfId="1" applyFont="1" applyBorder="1" applyAlignment="1">
      <alignment horizontal="left" vertical="top"/>
    </xf>
    <xf numFmtId="0" fontId="1" fillId="0" borderId="30" xfId="1" applyBorder="1" applyAlignment="1">
      <alignment horizontal="center" vertical="center"/>
    </xf>
    <xf numFmtId="0" fontId="1" fillId="0" borderId="45" xfId="1" applyBorder="1" applyAlignment="1">
      <alignment horizontal="center" vertical="center"/>
    </xf>
    <xf numFmtId="0" fontId="2" fillId="0" borderId="47" xfId="1" applyFont="1" applyBorder="1" applyAlignment="1">
      <alignment horizontal="center" vertical="center"/>
    </xf>
    <xf numFmtId="0" fontId="2" fillId="0" borderId="38" xfId="1" applyFont="1" applyBorder="1" applyAlignment="1">
      <alignment horizontal="center" vertical="center"/>
    </xf>
    <xf numFmtId="0" fontId="2" fillId="0" borderId="39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48" xfId="1" applyBorder="1" applyAlignment="1">
      <alignment horizontal="center" vertical="center"/>
    </xf>
    <xf numFmtId="0" fontId="3" fillId="0" borderId="47" xfId="1" applyFont="1" applyBorder="1" applyAlignment="1">
      <alignment horizontal="center" vertical="center" wrapText="1"/>
    </xf>
    <xf numFmtId="0" fontId="3" fillId="0" borderId="38" xfId="1" applyFont="1" applyBorder="1" applyAlignment="1">
      <alignment horizontal="center" vertical="center" wrapText="1"/>
    </xf>
    <xf numFmtId="0" fontId="3" fillId="0" borderId="39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28" xfId="1" applyFont="1" applyBorder="1" applyAlignment="1">
      <alignment horizontal="center" vertical="center" wrapText="1"/>
    </xf>
    <xf numFmtId="0" fontId="2" fillId="0" borderId="49" xfId="1" applyFont="1" applyBorder="1" applyAlignment="1">
      <alignment horizontal="left" vertical="top"/>
    </xf>
    <xf numFmtId="49" fontId="10" fillId="0" borderId="30" xfId="0" applyNumberFormat="1" applyFont="1" applyBorder="1" applyAlignment="1">
      <alignment horizontal="center" vertical="center"/>
    </xf>
    <xf numFmtId="49" fontId="10" fillId="0" borderId="45" xfId="0" applyNumberFormat="1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 vertical="center"/>
    </xf>
    <xf numFmtId="49" fontId="10" fillId="0" borderId="50" xfId="0" applyNumberFormat="1" applyFont="1" applyBorder="1" applyAlignment="1">
      <alignment horizontal="center" vertical="center"/>
    </xf>
    <xf numFmtId="49" fontId="14" fillId="0" borderId="21" xfId="1" applyNumberFormat="1" applyFont="1" applyBorder="1" applyAlignment="1">
      <alignment horizontal="center" vertical="center" wrapText="1"/>
    </xf>
    <xf numFmtId="49" fontId="14" fillId="0" borderId="22" xfId="1" applyNumberFormat="1" applyFont="1" applyBorder="1" applyAlignment="1">
      <alignment horizontal="center" vertical="center" wrapText="1"/>
    </xf>
    <xf numFmtId="49" fontId="14" fillId="0" borderId="42" xfId="1" applyNumberFormat="1" applyFont="1" applyBorder="1" applyAlignment="1">
      <alignment horizontal="center" vertical="center" wrapText="1"/>
    </xf>
    <xf numFmtId="49" fontId="14" fillId="0" borderId="10" xfId="1" applyNumberFormat="1" applyFont="1" applyBorder="1" applyAlignment="1">
      <alignment horizontal="center" vertical="center" wrapText="1"/>
    </xf>
    <xf numFmtId="49" fontId="14" fillId="0" borderId="2" xfId="1" applyNumberFormat="1" applyFont="1" applyBorder="1" applyAlignment="1">
      <alignment horizontal="center" vertical="center" wrapText="1"/>
    </xf>
    <xf numFmtId="49" fontId="14" fillId="0" borderId="50" xfId="1" applyNumberFormat="1" applyFont="1" applyBorder="1" applyAlignment="1">
      <alignment horizontal="center" vertical="center" wrapText="1"/>
    </xf>
    <xf numFmtId="0" fontId="6" fillId="0" borderId="71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1" fontId="2" fillId="2" borderId="74" xfId="0" applyNumberFormat="1" applyFont="1" applyFill="1" applyBorder="1" applyAlignment="1">
      <alignment horizontal="center"/>
    </xf>
    <xf numFmtId="1" fontId="2" fillId="2" borderId="32" xfId="0" applyNumberFormat="1" applyFont="1" applyFill="1" applyBorder="1" applyAlignment="1">
      <alignment horizontal="center"/>
    </xf>
    <xf numFmtId="1" fontId="2" fillId="2" borderId="33" xfId="0" applyNumberFormat="1" applyFont="1" applyFill="1" applyBorder="1" applyAlignment="1">
      <alignment horizontal="center"/>
    </xf>
    <xf numFmtId="1" fontId="2" fillId="2" borderId="31" xfId="0" applyNumberFormat="1" applyFont="1" applyFill="1" applyBorder="1" applyAlignment="1">
      <alignment horizontal="center"/>
    </xf>
    <xf numFmtId="1" fontId="2" fillId="2" borderId="67" xfId="0" applyNumberFormat="1" applyFont="1" applyFill="1" applyBorder="1" applyAlignment="1">
      <alignment horizontal="center"/>
    </xf>
    <xf numFmtId="49" fontId="2" fillId="2" borderId="47" xfId="0" applyNumberFormat="1" applyFont="1" applyFill="1" applyBorder="1" applyAlignment="1">
      <alignment horizontal="center" vertical="center" wrapText="1"/>
    </xf>
    <xf numFmtId="49" fontId="2" fillId="2" borderId="38" xfId="0" applyNumberFormat="1" applyFont="1" applyFill="1" applyBorder="1" applyAlignment="1">
      <alignment horizontal="center" vertical="center" wrapText="1"/>
    </xf>
    <xf numFmtId="49" fontId="2" fillId="2" borderId="65" xfId="0" applyNumberFormat="1" applyFont="1" applyFill="1" applyBorder="1" applyAlignment="1">
      <alignment horizontal="center" vertical="center" wrapText="1"/>
    </xf>
    <xf numFmtId="49" fontId="2" fillId="2" borderId="3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48" xfId="0" applyNumberFormat="1" applyFont="1" applyFill="1" applyBorder="1" applyAlignment="1">
      <alignment horizontal="center" vertical="center" wrapText="1"/>
    </xf>
    <xf numFmtId="49" fontId="2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44" xfId="0" applyNumberFormat="1" applyFont="1" applyFill="1" applyBorder="1" applyAlignment="1">
      <alignment horizontal="center" vertical="center" wrapText="1"/>
    </xf>
    <xf numFmtId="1" fontId="2" fillId="2" borderId="73" xfId="0" quotePrefix="1" applyNumberFormat="1" applyFont="1" applyFill="1" applyBorder="1" applyAlignment="1">
      <alignment horizontal="center"/>
    </xf>
    <xf numFmtId="1" fontId="2" fillId="2" borderId="11" xfId="0" quotePrefix="1" applyNumberFormat="1" applyFont="1" applyFill="1" applyBorder="1" applyAlignment="1">
      <alignment horizontal="center"/>
    </xf>
    <xf numFmtId="1" fontId="2" fillId="2" borderId="66" xfId="0" quotePrefix="1" applyNumberFormat="1" applyFont="1" applyFill="1" applyBorder="1" applyAlignment="1">
      <alignment horizontal="center"/>
    </xf>
    <xf numFmtId="164" fontId="2" fillId="2" borderId="74" xfId="0" applyNumberFormat="1" applyFont="1" applyFill="1" applyBorder="1" applyAlignment="1">
      <alignment horizontal="center"/>
    </xf>
    <xf numFmtId="164" fontId="2" fillId="2" borderId="32" xfId="0" applyNumberFormat="1" applyFont="1" applyFill="1" applyBorder="1" applyAlignment="1">
      <alignment horizontal="center"/>
    </xf>
    <xf numFmtId="164" fontId="2" fillId="2" borderId="33" xfId="0" applyNumberFormat="1" applyFont="1" applyFill="1" applyBorder="1" applyAlignment="1">
      <alignment horizontal="center"/>
    </xf>
    <xf numFmtId="49" fontId="2" fillId="0" borderId="71" xfId="0" applyNumberFormat="1" applyFont="1" applyBorder="1" applyAlignment="1">
      <alignment horizontal="center"/>
    </xf>
    <xf numFmtId="49" fontId="2" fillId="0" borderId="35" xfId="0" applyNumberFormat="1" applyFont="1" applyBorder="1" applyAlignment="1">
      <alignment horizontal="center"/>
    </xf>
    <xf numFmtId="49" fontId="2" fillId="0" borderId="3" xfId="0" applyNumberFormat="1" applyFont="1" applyBorder="1" applyAlignment="1">
      <alignment horizontal="center"/>
    </xf>
    <xf numFmtId="49" fontId="2" fillId="0" borderId="4" xfId="0" applyNumberFormat="1" applyFont="1" applyBorder="1" applyAlignment="1">
      <alignment horizontal="center"/>
    </xf>
    <xf numFmtId="49" fontId="2" fillId="2" borderId="72" xfId="0" applyNumberFormat="1" applyFont="1" applyFill="1" applyBorder="1" applyAlignment="1">
      <alignment horizontal="center"/>
    </xf>
    <xf numFmtId="49" fontId="2" fillId="2" borderId="25" xfId="0" applyNumberFormat="1" applyFont="1" applyFill="1" applyBorder="1" applyAlignment="1">
      <alignment horizontal="center"/>
    </xf>
    <xf numFmtId="49" fontId="2" fillId="2" borderId="64" xfId="0" applyNumberFormat="1" applyFont="1" applyFill="1" applyBorder="1" applyAlignment="1">
      <alignment horizontal="center"/>
    </xf>
    <xf numFmtId="1" fontId="2" fillId="2" borderId="71" xfId="0" applyNumberFormat="1" applyFont="1" applyFill="1" applyBorder="1" applyAlignment="1">
      <alignment horizontal="center"/>
    </xf>
    <xf numFmtId="1" fontId="2" fillId="2" borderId="30" xfId="0" applyNumberFormat="1" applyFont="1" applyFill="1" applyBorder="1" applyAlignment="1">
      <alignment horizontal="center"/>
    </xf>
    <xf numFmtId="1" fontId="2" fillId="2" borderId="45" xfId="0" applyNumberFormat="1" applyFont="1" applyFill="1" applyBorder="1" applyAlignment="1">
      <alignment horizontal="center"/>
    </xf>
    <xf numFmtId="1" fontId="2" fillId="2" borderId="75" xfId="0" applyNumberFormat="1" applyFont="1" applyFill="1" applyBorder="1" applyAlignment="1">
      <alignment horizontal="center"/>
    </xf>
    <xf numFmtId="1" fontId="2" fillId="2" borderId="37" xfId="0" applyNumberFormat="1" applyFont="1" applyFill="1" applyBorder="1" applyAlignment="1">
      <alignment horizontal="center"/>
    </xf>
    <xf numFmtId="1" fontId="2" fillId="2" borderId="68" xfId="0" applyNumberFormat="1" applyFont="1" applyFill="1" applyBorder="1" applyAlignment="1">
      <alignment horizontal="center"/>
    </xf>
    <xf numFmtId="1" fontId="2" fillId="2" borderId="76" xfId="0" applyNumberFormat="1" applyFont="1" applyFill="1" applyBorder="1" applyAlignment="1">
      <alignment horizontal="center"/>
    </xf>
    <xf numFmtId="1" fontId="2" fillId="2" borderId="36" xfId="0" applyNumberFormat="1" applyFont="1" applyFill="1" applyBorder="1" applyAlignment="1">
      <alignment horizontal="center"/>
    </xf>
    <xf numFmtId="1" fontId="2" fillId="2" borderId="69" xfId="0" applyNumberFormat="1" applyFont="1" applyFill="1" applyBorder="1" applyAlignment="1">
      <alignment horizontal="center"/>
    </xf>
    <xf numFmtId="164" fontId="2" fillId="2" borderId="79" xfId="0" applyNumberFormat="1" applyFont="1" applyFill="1" applyBorder="1" applyAlignment="1">
      <alignment horizontal="center"/>
    </xf>
    <xf numFmtId="164" fontId="2" fillId="2" borderId="77" xfId="0" applyNumberFormat="1" applyFont="1" applyFill="1" applyBorder="1" applyAlignment="1">
      <alignment horizontal="center"/>
    </xf>
    <xf numFmtId="1" fontId="2" fillId="2" borderId="77" xfId="0" applyNumberFormat="1" applyFont="1" applyFill="1" applyBorder="1" applyAlignment="1">
      <alignment horizontal="center"/>
    </xf>
    <xf numFmtId="1" fontId="2" fillId="2" borderId="78" xfId="0" applyNumberFormat="1" applyFont="1" applyFill="1" applyBorder="1" applyAlignment="1">
      <alignment horizontal="center"/>
    </xf>
    <xf numFmtId="49" fontId="2" fillId="2" borderId="22" xfId="0" applyNumberFormat="1" applyFont="1" applyFill="1" applyBorder="1" applyAlignment="1">
      <alignment horizontal="center"/>
    </xf>
    <xf numFmtId="49" fontId="2" fillId="2" borderId="42" xfId="0" applyNumberFormat="1" applyFont="1" applyFill="1" applyBorder="1" applyAlignment="1">
      <alignment horizontal="center"/>
    </xf>
    <xf numFmtId="49" fontId="2" fillId="2" borderId="11" xfId="0" quotePrefix="1" applyNumberFormat="1" applyFont="1" applyFill="1" applyBorder="1" applyAlignment="1">
      <alignment horizontal="center"/>
    </xf>
    <xf numFmtId="49" fontId="2" fillId="2" borderId="66" xfId="0" quotePrefix="1" applyNumberFormat="1" applyFont="1" applyFill="1" applyBorder="1" applyAlignment="1">
      <alignment horizontal="center"/>
    </xf>
    <xf numFmtId="0" fontId="6" fillId="0" borderId="54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0" borderId="70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49" fontId="10" fillId="0" borderId="34" xfId="0" applyNumberFormat="1" applyFont="1" applyBorder="1" applyAlignment="1">
      <alignment horizontal="center" vertical="center"/>
    </xf>
    <xf numFmtId="49" fontId="10" fillId="0" borderId="27" xfId="0" applyNumberFormat="1" applyFont="1" applyBorder="1" applyAlignment="1">
      <alignment horizontal="center" vertical="center"/>
    </xf>
    <xf numFmtId="0" fontId="13" fillId="0" borderId="19" xfId="0" applyFont="1" applyBorder="1" applyAlignment="1">
      <alignment horizontal="left" vertical="top"/>
    </xf>
    <xf numFmtId="0" fontId="13" fillId="0" borderId="20" xfId="0" applyFont="1" applyBorder="1" applyAlignment="1">
      <alignment horizontal="left" vertical="top"/>
    </xf>
    <xf numFmtId="0" fontId="13" fillId="0" borderId="60" xfId="0" applyFont="1" applyBorder="1" applyAlignment="1">
      <alignment horizontal="left" vertical="top"/>
    </xf>
    <xf numFmtId="0" fontId="13" fillId="0" borderId="58" xfId="0" applyFont="1" applyBorder="1" applyAlignment="1">
      <alignment horizontal="left" vertical="top"/>
    </xf>
    <xf numFmtId="49" fontId="10" fillId="0" borderId="60" xfId="0" applyNumberFormat="1" applyFont="1" applyBorder="1" applyAlignment="1">
      <alignment horizontal="center" vertical="center"/>
    </xf>
    <xf numFmtId="49" fontId="10" fillId="0" borderId="58" xfId="0" applyNumberFormat="1" applyFont="1" applyBorder="1" applyAlignment="1">
      <alignment horizontal="center" vertical="center"/>
    </xf>
    <xf numFmtId="49" fontId="10" fillId="0" borderId="59" xfId="0" applyNumberFormat="1" applyFont="1" applyBorder="1" applyAlignment="1">
      <alignment horizontal="center" vertical="center"/>
    </xf>
    <xf numFmtId="1" fontId="2" fillId="2" borderId="11" xfId="0" applyNumberFormat="1" applyFont="1" applyFill="1" applyBorder="1" applyAlignment="1">
      <alignment horizontal="center"/>
    </xf>
    <xf numFmtId="1" fontId="2" fillId="2" borderId="66" xfId="0" applyNumberFormat="1" applyFont="1" applyFill="1" applyBorder="1" applyAlignment="1">
      <alignment horizontal="center"/>
    </xf>
    <xf numFmtId="49" fontId="2" fillId="2" borderId="73" xfId="0" quotePrefix="1" applyNumberFormat="1" applyFont="1" applyFill="1" applyBorder="1" applyAlignment="1">
      <alignment horizontal="center"/>
    </xf>
    <xf numFmtId="49" fontId="2" fillId="2" borderId="11" xfId="0" applyNumberFormat="1" applyFont="1" applyFill="1" applyBorder="1" applyAlignment="1">
      <alignment horizontal="center"/>
    </xf>
    <xf numFmtId="49" fontId="2" fillId="2" borderId="66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 wrapText="1"/>
    </xf>
    <xf numFmtId="49" fontId="1" fillId="0" borderId="62" xfId="0" applyNumberFormat="1" applyFont="1" applyBorder="1" applyAlignment="1">
      <alignment horizontal="center" vertical="center" wrapText="1"/>
    </xf>
    <xf numFmtId="1" fontId="2" fillId="2" borderId="73" xfId="0" applyNumberFormat="1" applyFont="1" applyFill="1" applyBorder="1" applyAlignment="1">
      <alignment horizontal="center"/>
    </xf>
  </cellXfs>
  <cellStyles count="3">
    <cellStyle name="Hiperlink" xfId="2" builtinId="8"/>
    <cellStyle name="Normal" xfId="0" builtinId="0"/>
    <cellStyle name="Normal 3 2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0/07/relationships/rdRichValueWebImage" Target="richData/rdRichValueWebImage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447845</xdr:colOff>
      <xdr:row>11</xdr:row>
      <xdr:rowOff>13252</xdr:rowOff>
    </xdr:from>
    <xdr:to>
      <xdr:col>20</xdr:col>
      <xdr:colOff>553863</xdr:colOff>
      <xdr:row>18</xdr:row>
      <xdr:rowOff>72886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0DBE09D-6E64-4320-AE8C-ABF1DCCF8BB3}"/>
            </a:ext>
          </a:extLst>
        </xdr:cNvPr>
        <xdr:cNvSpPr/>
      </xdr:nvSpPr>
      <xdr:spPr bwMode="auto">
        <a:xfrm>
          <a:off x="10872005" y="1826812"/>
          <a:ext cx="1325218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20</xdr:col>
      <xdr:colOff>556592</xdr:colOff>
      <xdr:row>9</xdr:row>
      <xdr:rowOff>106017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FD83F38-D2B7-4B2D-9C34-31DCD92A175A}"/>
            </a:ext>
          </a:extLst>
        </xdr:cNvPr>
        <xdr:cNvSpPr/>
      </xdr:nvSpPr>
      <xdr:spPr bwMode="auto">
        <a:xfrm>
          <a:off x="10894612" y="455212"/>
          <a:ext cx="130534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203459</xdr:colOff>
      <xdr:row>11</xdr:row>
      <xdr:rowOff>10913</xdr:rowOff>
    </xdr:from>
    <xdr:to>
      <xdr:col>18</xdr:col>
      <xdr:colOff>243216</xdr:colOff>
      <xdr:row>18</xdr:row>
      <xdr:rowOff>70547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F995A69-8B51-43FE-A580-8BC854530A9F}"/>
            </a:ext>
          </a:extLst>
        </xdr:cNvPr>
        <xdr:cNvSpPr/>
      </xdr:nvSpPr>
      <xdr:spPr bwMode="auto">
        <a:xfrm>
          <a:off x="9408419" y="1824473"/>
          <a:ext cx="1258957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5BE3FB1-FA15-4B79-BF3C-236D0554DC3D}"/>
            </a:ext>
          </a:extLst>
        </xdr:cNvPr>
        <xdr:cNvSpPr/>
      </xdr:nvSpPr>
      <xdr:spPr bwMode="auto">
        <a:xfrm>
          <a:off x="9397117" y="455212"/>
          <a:ext cx="125895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91440</xdr:colOff>
      <xdr:row>3</xdr:row>
      <xdr:rowOff>91440</xdr:rowOff>
    </xdr:from>
    <xdr:to>
      <xdr:col>20</xdr:col>
      <xdr:colOff>342900</xdr:colOff>
      <xdr:row>9</xdr:row>
      <xdr:rowOff>22860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F16EA213-D95D-41B6-9825-35D95780A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685800"/>
          <a:ext cx="86106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53340</xdr:colOff>
      <xdr:row>12</xdr:row>
      <xdr:rowOff>121920</xdr:rowOff>
    </xdr:from>
    <xdr:to>
      <xdr:col>20</xdr:col>
      <xdr:colOff>358140</xdr:colOff>
      <xdr:row>18</xdr:row>
      <xdr:rowOff>95474</xdr:rowOff>
    </xdr:to>
    <xdr:pic macro="[0]!AreaDeImpressaoCapa">
      <xdr:nvPicPr>
        <xdr:cNvPr id="7" name="Gráfico 7" descr="Impressora estrutura de tópicos">
          <a:extLst>
            <a:ext uri="{FF2B5EF4-FFF2-40B4-BE49-F238E27FC236}">
              <a16:creationId xmlns:a16="http://schemas.microsoft.com/office/drawing/2014/main" id="{9756875E-E1F0-41DC-9D75-F688C7671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208788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388620</xdr:colOff>
      <xdr:row>3</xdr:row>
      <xdr:rowOff>91440</xdr:rowOff>
    </xdr:from>
    <xdr:to>
      <xdr:col>18</xdr:col>
      <xdr:colOff>83820</xdr:colOff>
      <xdr:row>9</xdr:row>
      <xdr:rowOff>76200</xdr:rowOff>
    </xdr:to>
    <xdr:pic macro="[0]!CaputarLogos">
      <xdr:nvPicPr>
        <xdr:cNvPr id="8" name="Gráfico 8" descr="Imagens com preenchimento sólido">
          <a:extLst>
            <a:ext uri="{FF2B5EF4-FFF2-40B4-BE49-F238E27FC236}">
              <a16:creationId xmlns:a16="http://schemas.microsoft.com/office/drawing/2014/main" id="{69BAA72F-1853-422F-8E66-19AE2B5A1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3580" y="68580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E27F854-1CEB-4048-ACB7-6C060F88652C}"/>
            </a:ext>
          </a:extLst>
        </xdr:cNvPr>
        <xdr:cNvSpPr/>
      </xdr:nvSpPr>
      <xdr:spPr>
        <a:xfrm>
          <a:off x="1085054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72887</xdr:colOff>
      <xdr:row>2</xdr:row>
      <xdr:rowOff>13252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9777BC9-DB91-4901-80DC-55020EC8C909}"/>
            </a:ext>
          </a:extLst>
        </xdr:cNvPr>
        <xdr:cNvSpPr/>
      </xdr:nvSpPr>
      <xdr:spPr>
        <a:xfrm>
          <a:off x="9277847" y="4552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95747</xdr:colOff>
      <xdr:row>11</xdr:row>
      <xdr:rowOff>13252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5FE7FFA-BF92-4306-A4CC-6069E9ED6751}"/>
            </a:ext>
          </a:extLst>
        </xdr:cNvPr>
        <xdr:cNvSpPr/>
      </xdr:nvSpPr>
      <xdr:spPr>
        <a:xfrm>
          <a:off x="9300707" y="1826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394915</xdr:colOff>
      <xdr:row>11</xdr:row>
      <xdr:rowOff>6626</xdr:rowOff>
    </xdr:from>
    <xdr:ext cx="1516380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E36E2FA5-5DA2-40F1-8DC2-6460A7E8848B}"/>
            </a:ext>
          </a:extLst>
        </xdr:cNvPr>
        <xdr:cNvSpPr/>
      </xdr:nvSpPr>
      <xdr:spPr>
        <a:xfrm>
          <a:off x="10819075" y="182018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  <xdr:twoCellAnchor editAs="oneCell">
    <xdr:from>
      <xdr:col>16</xdr:col>
      <xdr:colOff>376517</xdr:colOff>
      <xdr:row>12</xdr:row>
      <xdr:rowOff>89647</xdr:rowOff>
    </xdr:from>
    <xdr:to>
      <xdr:col>18</xdr:col>
      <xdr:colOff>71717</xdr:colOff>
      <xdr:row>18</xdr:row>
      <xdr:rowOff>78441</xdr:rowOff>
    </xdr:to>
    <xdr:pic macro="[0]!ExportarPDF">
      <xdr:nvPicPr>
        <xdr:cNvPr id="13" name="Gráfico 12" descr="Papel estrutura de tópicos">
          <a:extLst>
            <a:ext uri="{FF2B5EF4-FFF2-40B4-BE49-F238E27FC236}">
              <a16:creationId xmlns:a16="http://schemas.microsoft.com/office/drawing/2014/main" id="{D2C9513B-E107-4078-AB98-ECA677107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699811" y="1918447"/>
          <a:ext cx="914400" cy="9031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22</xdr:row>
      <xdr:rowOff>19050</xdr:rowOff>
    </xdr:from>
    <xdr:to>
      <xdr:col>17</xdr:col>
      <xdr:colOff>9525</xdr:colOff>
      <xdr:row>22</xdr:row>
      <xdr:rowOff>123825</xdr:rowOff>
    </xdr:to>
    <xdr:sp macro="" textlink="">
      <xdr:nvSpPr>
        <xdr:cNvPr id="160186" name="Rectangle 41">
          <a:extLst>
            <a:ext uri="{FF2B5EF4-FFF2-40B4-BE49-F238E27FC236}">
              <a16:creationId xmlns:a16="http://schemas.microsoft.com/office/drawing/2014/main" id="{00000000-0008-0000-0200-0000BA710200}"/>
            </a:ext>
          </a:extLst>
        </xdr:cNvPr>
        <xdr:cNvSpPr>
          <a:spLocks noChangeArrowheads="1"/>
        </xdr:cNvSpPr>
      </xdr:nvSpPr>
      <xdr:spPr bwMode="auto">
        <a:xfrm>
          <a:off x="2505075" y="3810000"/>
          <a:ext cx="85725" cy="104775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38100</xdr:colOff>
      <xdr:row>10</xdr:row>
      <xdr:rowOff>38100</xdr:rowOff>
    </xdr:from>
    <xdr:to>
      <xdr:col>1</xdr:col>
      <xdr:colOff>123825</xdr:colOff>
      <xdr:row>13</xdr:row>
      <xdr:rowOff>107949</xdr:rowOff>
    </xdr:to>
    <xdr:sp macro="" textlink="">
      <xdr:nvSpPr>
        <xdr:cNvPr id="86" name="Texto 10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>
          <a:spLocks noChangeArrowheads="1"/>
        </xdr:cNvSpPr>
      </xdr:nvSpPr>
      <xdr:spPr bwMode="auto">
        <a:xfrm>
          <a:off x="38100" y="1866900"/>
          <a:ext cx="228600" cy="4667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GERAL</a:t>
          </a:r>
        </a:p>
      </xdr:txBody>
    </xdr:sp>
    <xdr:clientData/>
  </xdr:twoCellAnchor>
  <xdr:twoCellAnchor>
    <xdr:from>
      <xdr:col>0</xdr:col>
      <xdr:colOff>57150</xdr:colOff>
      <xdr:row>20</xdr:row>
      <xdr:rowOff>12700</xdr:rowOff>
    </xdr:from>
    <xdr:to>
      <xdr:col>1</xdr:col>
      <xdr:colOff>133350</xdr:colOff>
      <xdr:row>26</xdr:row>
      <xdr:rowOff>93454</xdr:rowOff>
    </xdr:to>
    <xdr:sp macro="" textlink="">
      <xdr:nvSpPr>
        <xdr:cNvPr id="87" name="Texto 23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 txBox="1">
          <a:spLocks noChangeArrowheads="1"/>
        </xdr:cNvSpPr>
      </xdr:nvSpPr>
      <xdr:spPr bwMode="auto">
        <a:xfrm>
          <a:off x="57150" y="3181350"/>
          <a:ext cx="219075" cy="86677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ACESSÓRIOS</a:t>
          </a:r>
        </a:p>
      </xdr:txBody>
    </xdr:sp>
    <xdr:clientData/>
  </xdr:twoCellAnchor>
  <xdr:twoCellAnchor>
    <xdr:from>
      <xdr:col>16</xdr:col>
      <xdr:colOff>66675</xdr:colOff>
      <xdr:row>4</xdr:row>
      <xdr:rowOff>38100</xdr:rowOff>
    </xdr:from>
    <xdr:to>
      <xdr:col>17</xdr:col>
      <xdr:colOff>9525</xdr:colOff>
      <xdr:row>4</xdr:row>
      <xdr:rowOff>142875</xdr:rowOff>
    </xdr:to>
    <xdr:sp macro="" textlink="">
      <xdr:nvSpPr>
        <xdr:cNvPr id="160149" name="Rectangle 3">
          <a:extLst>
            <a:ext uri="{FF2B5EF4-FFF2-40B4-BE49-F238E27FC236}">
              <a16:creationId xmlns:a16="http://schemas.microsoft.com/office/drawing/2014/main" id="{00000000-0008-0000-0200-000095710200}"/>
            </a:ext>
          </a:extLst>
        </xdr:cNvPr>
        <xdr:cNvSpPr>
          <a:spLocks noChangeArrowheads="1"/>
        </xdr:cNvSpPr>
      </xdr:nvSpPr>
      <xdr:spPr bwMode="auto">
        <a:xfrm>
          <a:off x="2505075" y="914400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5</xdr:row>
      <xdr:rowOff>19050</xdr:rowOff>
    </xdr:from>
    <xdr:to>
      <xdr:col>17</xdr:col>
      <xdr:colOff>9525</xdr:colOff>
      <xdr:row>5</xdr:row>
      <xdr:rowOff>123825</xdr:rowOff>
    </xdr:to>
    <xdr:sp macro="" textlink="">
      <xdr:nvSpPr>
        <xdr:cNvPr id="160150" name="Rectangle 4">
          <a:extLst>
            <a:ext uri="{FF2B5EF4-FFF2-40B4-BE49-F238E27FC236}">
              <a16:creationId xmlns:a16="http://schemas.microsoft.com/office/drawing/2014/main" id="{00000000-0008-0000-0200-000096710200}"/>
            </a:ext>
          </a:extLst>
        </xdr:cNvPr>
        <xdr:cNvSpPr>
          <a:spLocks noChangeArrowheads="1"/>
        </xdr:cNvSpPr>
      </xdr:nvSpPr>
      <xdr:spPr bwMode="auto">
        <a:xfrm>
          <a:off x="2505075" y="10572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6</xdr:row>
      <xdr:rowOff>19050</xdr:rowOff>
    </xdr:from>
    <xdr:to>
      <xdr:col>17</xdr:col>
      <xdr:colOff>9525</xdr:colOff>
      <xdr:row>6</xdr:row>
      <xdr:rowOff>123825</xdr:rowOff>
    </xdr:to>
    <xdr:sp macro="" textlink="">
      <xdr:nvSpPr>
        <xdr:cNvPr id="160151" name="Rectangle 5">
          <a:extLst>
            <a:ext uri="{FF2B5EF4-FFF2-40B4-BE49-F238E27FC236}">
              <a16:creationId xmlns:a16="http://schemas.microsoft.com/office/drawing/2014/main" id="{00000000-0008-0000-0200-000097710200}"/>
            </a:ext>
          </a:extLst>
        </xdr:cNvPr>
        <xdr:cNvSpPr>
          <a:spLocks noChangeArrowheads="1"/>
        </xdr:cNvSpPr>
      </xdr:nvSpPr>
      <xdr:spPr bwMode="auto">
        <a:xfrm>
          <a:off x="2505075" y="1219200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9</xdr:row>
      <xdr:rowOff>19050</xdr:rowOff>
    </xdr:from>
    <xdr:to>
      <xdr:col>17</xdr:col>
      <xdr:colOff>9525</xdr:colOff>
      <xdr:row>9</xdr:row>
      <xdr:rowOff>123825</xdr:rowOff>
    </xdr:to>
    <xdr:sp macro="" textlink="">
      <xdr:nvSpPr>
        <xdr:cNvPr id="160152" name="Rectangle 6">
          <a:extLst>
            <a:ext uri="{FF2B5EF4-FFF2-40B4-BE49-F238E27FC236}">
              <a16:creationId xmlns:a16="http://schemas.microsoft.com/office/drawing/2014/main" id="{00000000-0008-0000-0200-000098710200}"/>
            </a:ext>
          </a:extLst>
        </xdr:cNvPr>
        <xdr:cNvSpPr>
          <a:spLocks noChangeArrowheads="1"/>
        </xdr:cNvSpPr>
      </xdr:nvSpPr>
      <xdr:spPr bwMode="auto">
        <a:xfrm>
          <a:off x="2505075" y="17049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10</xdr:row>
      <xdr:rowOff>19050</xdr:rowOff>
    </xdr:from>
    <xdr:to>
      <xdr:col>17</xdr:col>
      <xdr:colOff>9525</xdr:colOff>
      <xdr:row>10</xdr:row>
      <xdr:rowOff>123825</xdr:rowOff>
    </xdr:to>
    <xdr:sp macro="" textlink="">
      <xdr:nvSpPr>
        <xdr:cNvPr id="160153" name="Rectangle 7">
          <a:extLst>
            <a:ext uri="{FF2B5EF4-FFF2-40B4-BE49-F238E27FC236}">
              <a16:creationId xmlns:a16="http://schemas.microsoft.com/office/drawing/2014/main" id="{00000000-0008-0000-0200-000099710200}"/>
            </a:ext>
          </a:extLst>
        </xdr:cNvPr>
        <xdr:cNvSpPr>
          <a:spLocks noChangeArrowheads="1"/>
        </xdr:cNvSpPr>
      </xdr:nvSpPr>
      <xdr:spPr bwMode="auto">
        <a:xfrm>
          <a:off x="2505075" y="18669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11</xdr:row>
      <xdr:rowOff>19050</xdr:rowOff>
    </xdr:from>
    <xdr:to>
      <xdr:col>17</xdr:col>
      <xdr:colOff>9525</xdr:colOff>
      <xdr:row>11</xdr:row>
      <xdr:rowOff>123825</xdr:rowOff>
    </xdr:to>
    <xdr:sp macro="" textlink="">
      <xdr:nvSpPr>
        <xdr:cNvPr id="160154" name="Rectangle 8">
          <a:extLst>
            <a:ext uri="{FF2B5EF4-FFF2-40B4-BE49-F238E27FC236}">
              <a16:creationId xmlns:a16="http://schemas.microsoft.com/office/drawing/2014/main" id="{00000000-0008-0000-0200-00009A710200}"/>
            </a:ext>
          </a:extLst>
        </xdr:cNvPr>
        <xdr:cNvSpPr>
          <a:spLocks noChangeArrowheads="1"/>
        </xdr:cNvSpPr>
      </xdr:nvSpPr>
      <xdr:spPr bwMode="auto">
        <a:xfrm>
          <a:off x="2505075" y="2028825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12</xdr:row>
      <xdr:rowOff>19050</xdr:rowOff>
    </xdr:from>
    <xdr:to>
      <xdr:col>17</xdr:col>
      <xdr:colOff>9525</xdr:colOff>
      <xdr:row>12</xdr:row>
      <xdr:rowOff>123825</xdr:rowOff>
    </xdr:to>
    <xdr:sp macro="" textlink="">
      <xdr:nvSpPr>
        <xdr:cNvPr id="160155" name="Rectangle 9">
          <a:extLst>
            <a:ext uri="{FF2B5EF4-FFF2-40B4-BE49-F238E27FC236}">
              <a16:creationId xmlns:a16="http://schemas.microsoft.com/office/drawing/2014/main" id="{00000000-0008-0000-0200-00009B710200}"/>
            </a:ext>
          </a:extLst>
        </xdr:cNvPr>
        <xdr:cNvSpPr>
          <a:spLocks noChangeArrowheads="1"/>
        </xdr:cNvSpPr>
      </xdr:nvSpPr>
      <xdr:spPr bwMode="auto">
        <a:xfrm>
          <a:off x="2505075" y="2190750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13</xdr:row>
      <xdr:rowOff>19050</xdr:rowOff>
    </xdr:from>
    <xdr:to>
      <xdr:col>17</xdr:col>
      <xdr:colOff>9525</xdr:colOff>
      <xdr:row>13</xdr:row>
      <xdr:rowOff>123825</xdr:rowOff>
    </xdr:to>
    <xdr:sp macro="" textlink="">
      <xdr:nvSpPr>
        <xdr:cNvPr id="160156" name="Rectangle 10">
          <a:extLst>
            <a:ext uri="{FF2B5EF4-FFF2-40B4-BE49-F238E27FC236}">
              <a16:creationId xmlns:a16="http://schemas.microsoft.com/office/drawing/2014/main" id="{00000000-0008-0000-0200-00009C710200}"/>
            </a:ext>
          </a:extLst>
        </xdr:cNvPr>
        <xdr:cNvSpPr>
          <a:spLocks noChangeArrowheads="1"/>
        </xdr:cNvSpPr>
      </xdr:nvSpPr>
      <xdr:spPr bwMode="auto">
        <a:xfrm>
          <a:off x="2505075" y="2352675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14</xdr:row>
      <xdr:rowOff>19050</xdr:rowOff>
    </xdr:from>
    <xdr:to>
      <xdr:col>17</xdr:col>
      <xdr:colOff>9525</xdr:colOff>
      <xdr:row>14</xdr:row>
      <xdr:rowOff>123825</xdr:rowOff>
    </xdr:to>
    <xdr:sp macro="" textlink="">
      <xdr:nvSpPr>
        <xdr:cNvPr id="160157" name="Rectangle 11">
          <a:extLst>
            <a:ext uri="{FF2B5EF4-FFF2-40B4-BE49-F238E27FC236}">
              <a16:creationId xmlns:a16="http://schemas.microsoft.com/office/drawing/2014/main" id="{00000000-0008-0000-0200-00009D710200}"/>
            </a:ext>
          </a:extLst>
        </xdr:cNvPr>
        <xdr:cNvSpPr>
          <a:spLocks noChangeArrowheads="1"/>
        </xdr:cNvSpPr>
      </xdr:nvSpPr>
      <xdr:spPr bwMode="auto">
        <a:xfrm>
          <a:off x="2505075" y="25146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15</xdr:row>
      <xdr:rowOff>19050</xdr:rowOff>
    </xdr:from>
    <xdr:to>
      <xdr:col>17</xdr:col>
      <xdr:colOff>9525</xdr:colOff>
      <xdr:row>15</xdr:row>
      <xdr:rowOff>123825</xdr:rowOff>
    </xdr:to>
    <xdr:sp macro="" textlink="">
      <xdr:nvSpPr>
        <xdr:cNvPr id="160158" name="Rectangle 12">
          <a:extLst>
            <a:ext uri="{FF2B5EF4-FFF2-40B4-BE49-F238E27FC236}">
              <a16:creationId xmlns:a16="http://schemas.microsoft.com/office/drawing/2014/main" id="{00000000-0008-0000-0200-00009E710200}"/>
            </a:ext>
          </a:extLst>
        </xdr:cNvPr>
        <xdr:cNvSpPr>
          <a:spLocks noChangeArrowheads="1"/>
        </xdr:cNvSpPr>
      </xdr:nvSpPr>
      <xdr:spPr bwMode="auto">
        <a:xfrm>
          <a:off x="2505075" y="2676525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16</xdr:row>
      <xdr:rowOff>19050</xdr:rowOff>
    </xdr:from>
    <xdr:to>
      <xdr:col>17</xdr:col>
      <xdr:colOff>9525</xdr:colOff>
      <xdr:row>16</xdr:row>
      <xdr:rowOff>123825</xdr:rowOff>
    </xdr:to>
    <xdr:sp macro="" textlink="">
      <xdr:nvSpPr>
        <xdr:cNvPr id="160159" name="Rectangle 13">
          <a:extLst>
            <a:ext uri="{FF2B5EF4-FFF2-40B4-BE49-F238E27FC236}">
              <a16:creationId xmlns:a16="http://schemas.microsoft.com/office/drawing/2014/main" id="{00000000-0008-0000-0200-00009F710200}"/>
            </a:ext>
          </a:extLst>
        </xdr:cNvPr>
        <xdr:cNvSpPr>
          <a:spLocks noChangeArrowheads="1"/>
        </xdr:cNvSpPr>
      </xdr:nvSpPr>
      <xdr:spPr bwMode="auto">
        <a:xfrm>
          <a:off x="2505075" y="2838450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17</xdr:row>
      <xdr:rowOff>19050</xdr:rowOff>
    </xdr:from>
    <xdr:to>
      <xdr:col>17</xdr:col>
      <xdr:colOff>9525</xdr:colOff>
      <xdr:row>17</xdr:row>
      <xdr:rowOff>123825</xdr:rowOff>
    </xdr:to>
    <xdr:sp macro="" textlink="">
      <xdr:nvSpPr>
        <xdr:cNvPr id="160160" name="Rectangle 14">
          <a:extLst>
            <a:ext uri="{FF2B5EF4-FFF2-40B4-BE49-F238E27FC236}">
              <a16:creationId xmlns:a16="http://schemas.microsoft.com/office/drawing/2014/main" id="{00000000-0008-0000-0200-0000A0710200}"/>
            </a:ext>
          </a:extLst>
        </xdr:cNvPr>
        <xdr:cNvSpPr>
          <a:spLocks noChangeArrowheads="1"/>
        </xdr:cNvSpPr>
      </xdr:nvSpPr>
      <xdr:spPr bwMode="auto">
        <a:xfrm>
          <a:off x="2505075" y="30003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18</xdr:row>
      <xdr:rowOff>19050</xdr:rowOff>
    </xdr:from>
    <xdr:to>
      <xdr:col>17</xdr:col>
      <xdr:colOff>9525</xdr:colOff>
      <xdr:row>18</xdr:row>
      <xdr:rowOff>123825</xdr:rowOff>
    </xdr:to>
    <xdr:sp macro="" textlink="">
      <xdr:nvSpPr>
        <xdr:cNvPr id="160161" name="Rectangle 15">
          <a:extLst>
            <a:ext uri="{FF2B5EF4-FFF2-40B4-BE49-F238E27FC236}">
              <a16:creationId xmlns:a16="http://schemas.microsoft.com/office/drawing/2014/main" id="{00000000-0008-0000-0200-0000A1710200}"/>
            </a:ext>
          </a:extLst>
        </xdr:cNvPr>
        <xdr:cNvSpPr>
          <a:spLocks noChangeArrowheads="1"/>
        </xdr:cNvSpPr>
      </xdr:nvSpPr>
      <xdr:spPr bwMode="auto">
        <a:xfrm>
          <a:off x="2505075" y="3162300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19</xdr:row>
      <xdr:rowOff>19050</xdr:rowOff>
    </xdr:from>
    <xdr:to>
      <xdr:col>17</xdr:col>
      <xdr:colOff>9525</xdr:colOff>
      <xdr:row>19</xdr:row>
      <xdr:rowOff>123825</xdr:rowOff>
    </xdr:to>
    <xdr:sp macro="" textlink="">
      <xdr:nvSpPr>
        <xdr:cNvPr id="160162" name="Rectangle 16">
          <a:extLst>
            <a:ext uri="{FF2B5EF4-FFF2-40B4-BE49-F238E27FC236}">
              <a16:creationId xmlns:a16="http://schemas.microsoft.com/office/drawing/2014/main" id="{00000000-0008-0000-0200-0000A2710200}"/>
            </a:ext>
          </a:extLst>
        </xdr:cNvPr>
        <xdr:cNvSpPr>
          <a:spLocks noChangeArrowheads="1"/>
        </xdr:cNvSpPr>
      </xdr:nvSpPr>
      <xdr:spPr bwMode="auto">
        <a:xfrm>
          <a:off x="2505075" y="33242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</xdr:col>
      <xdr:colOff>66675</xdr:colOff>
      <xdr:row>9</xdr:row>
      <xdr:rowOff>19050</xdr:rowOff>
    </xdr:from>
    <xdr:to>
      <xdr:col>25</xdr:col>
      <xdr:colOff>9525</xdr:colOff>
      <xdr:row>9</xdr:row>
      <xdr:rowOff>123825</xdr:rowOff>
    </xdr:to>
    <xdr:sp macro="" textlink="">
      <xdr:nvSpPr>
        <xdr:cNvPr id="160163" name="Rectangle 17">
          <a:extLst>
            <a:ext uri="{FF2B5EF4-FFF2-40B4-BE49-F238E27FC236}">
              <a16:creationId xmlns:a16="http://schemas.microsoft.com/office/drawing/2014/main" id="{00000000-0008-0000-0200-0000A3710200}"/>
            </a:ext>
          </a:extLst>
        </xdr:cNvPr>
        <xdr:cNvSpPr>
          <a:spLocks noChangeArrowheads="1"/>
        </xdr:cNvSpPr>
      </xdr:nvSpPr>
      <xdr:spPr bwMode="auto">
        <a:xfrm>
          <a:off x="3648075" y="1704975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10</xdr:row>
      <xdr:rowOff>19050</xdr:rowOff>
    </xdr:from>
    <xdr:to>
      <xdr:col>25</xdr:col>
      <xdr:colOff>9525</xdr:colOff>
      <xdr:row>10</xdr:row>
      <xdr:rowOff>123825</xdr:rowOff>
    </xdr:to>
    <xdr:sp macro="" textlink="">
      <xdr:nvSpPr>
        <xdr:cNvPr id="160164" name="Rectangle 18">
          <a:extLst>
            <a:ext uri="{FF2B5EF4-FFF2-40B4-BE49-F238E27FC236}">
              <a16:creationId xmlns:a16="http://schemas.microsoft.com/office/drawing/2014/main" id="{00000000-0008-0000-0200-0000A4710200}"/>
            </a:ext>
          </a:extLst>
        </xdr:cNvPr>
        <xdr:cNvSpPr>
          <a:spLocks noChangeArrowheads="1"/>
        </xdr:cNvSpPr>
      </xdr:nvSpPr>
      <xdr:spPr bwMode="auto">
        <a:xfrm>
          <a:off x="3648075" y="1866900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11</xdr:row>
      <xdr:rowOff>19050</xdr:rowOff>
    </xdr:from>
    <xdr:to>
      <xdr:col>25</xdr:col>
      <xdr:colOff>9525</xdr:colOff>
      <xdr:row>11</xdr:row>
      <xdr:rowOff>123825</xdr:rowOff>
    </xdr:to>
    <xdr:sp macro="" textlink="">
      <xdr:nvSpPr>
        <xdr:cNvPr id="160165" name="Rectangle 19">
          <a:extLst>
            <a:ext uri="{FF2B5EF4-FFF2-40B4-BE49-F238E27FC236}">
              <a16:creationId xmlns:a16="http://schemas.microsoft.com/office/drawing/2014/main" id="{00000000-0008-0000-0200-0000A5710200}"/>
            </a:ext>
          </a:extLst>
        </xdr:cNvPr>
        <xdr:cNvSpPr>
          <a:spLocks noChangeArrowheads="1"/>
        </xdr:cNvSpPr>
      </xdr:nvSpPr>
      <xdr:spPr bwMode="auto">
        <a:xfrm>
          <a:off x="3648075" y="20288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</xdr:col>
      <xdr:colOff>66675</xdr:colOff>
      <xdr:row>13</xdr:row>
      <xdr:rowOff>19050</xdr:rowOff>
    </xdr:from>
    <xdr:to>
      <xdr:col>25</xdr:col>
      <xdr:colOff>9525</xdr:colOff>
      <xdr:row>13</xdr:row>
      <xdr:rowOff>123825</xdr:rowOff>
    </xdr:to>
    <xdr:sp macro="" textlink="">
      <xdr:nvSpPr>
        <xdr:cNvPr id="160166" name="Rectangle 20">
          <a:extLst>
            <a:ext uri="{FF2B5EF4-FFF2-40B4-BE49-F238E27FC236}">
              <a16:creationId xmlns:a16="http://schemas.microsoft.com/office/drawing/2014/main" id="{00000000-0008-0000-0200-0000A6710200}"/>
            </a:ext>
          </a:extLst>
        </xdr:cNvPr>
        <xdr:cNvSpPr>
          <a:spLocks noChangeArrowheads="1"/>
        </xdr:cNvSpPr>
      </xdr:nvSpPr>
      <xdr:spPr bwMode="auto">
        <a:xfrm>
          <a:off x="3648075" y="2352675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14</xdr:row>
      <xdr:rowOff>19050</xdr:rowOff>
    </xdr:from>
    <xdr:to>
      <xdr:col>25</xdr:col>
      <xdr:colOff>9525</xdr:colOff>
      <xdr:row>14</xdr:row>
      <xdr:rowOff>123825</xdr:rowOff>
    </xdr:to>
    <xdr:sp macro="" textlink="">
      <xdr:nvSpPr>
        <xdr:cNvPr id="160167" name="Rectangle 21">
          <a:extLst>
            <a:ext uri="{FF2B5EF4-FFF2-40B4-BE49-F238E27FC236}">
              <a16:creationId xmlns:a16="http://schemas.microsoft.com/office/drawing/2014/main" id="{00000000-0008-0000-0200-0000A7710200}"/>
            </a:ext>
          </a:extLst>
        </xdr:cNvPr>
        <xdr:cNvSpPr>
          <a:spLocks noChangeArrowheads="1"/>
        </xdr:cNvSpPr>
      </xdr:nvSpPr>
      <xdr:spPr bwMode="auto">
        <a:xfrm>
          <a:off x="3648075" y="2514600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15</xdr:row>
      <xdr:rowOff>19050</xdr:rowOff>
    </xdr:from>
    <xdr:to>
      <xdr:col>25</xdr:col>
      <xdr:colOff>9525</xdr:colOff>
      <xdr:row>15</xdr:row>
      <xdr:rowOff>123825</xdr:rowOff>
    </xdr:to>
    <xdr:sp macro="" textlink="">
      <xdr:nvSpPr>
        <xdr:cNvPr id="160168" name="Rectangle 22">
          <a:extLst>
            <a:ext uri="{FF2B5EF4-FFF2-40B4-BE49-F238E27FC236}">
              <a16:creationId xmlns:a16="http://schemas.microsoft.com/office/drawing/2014/main" id="{00000000-0008-0000-0200-0000A8710200}"/>
            </a:ext>
          </a:extLst>
        </xdr:cNvPr>
        <xdr:cNvSpPr>
          <a:spLocks noChangeArrowheads="1"/>
        </xdr:cNvSpPr>
      </xdr:nvSpPr>
      <xdr:spPr bwMode="auto">
        <a:xfrm>
          <a:off x="3648075" y="2676525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5</xdr:row>
      <xdr:rowOff>19050</xdr:rowOff>
    </xdr:from>
    <xdr:to>
      <xdr:col>25</xdr:col>
      <xdr:colOff>9525</xdr:colOff>
      <xdr:row>5</xdr:row>
      <xdr:rowOff>123825</xdr:rowOff>
    </xdr:to>
    <xdr:sp macro="" textlink="">
      <xdr:nvSpPr>
        <xdr:cNvPr id="160169" name="Rectangle 23">
          <a:extLst>
            <a:ext uri="{FF2B5EF4-FFF2-40B4-BE49-F238E27FC236}">
              <a16:creationId xmlns:a16="http://schemas.microsoft.com/office/drawing/2014/main" id="{00000000-0008-0000-0200-0000A9710200}"/>
            </a:ext>
          </a:extLst>
        </xdr:cNvPr>
        <xdr:cNvSpPr>
          <a:spLocks noChangeArrowheads="1"/>
        </xdr:cNvSpPr>
      </xdr:nvSpPr>
      <xdr:spPr bwMode="auto">
        <a:xfrm>
          <a:off x="3648075" y="1057275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6</xdr:row>
      <xdr:rowOff>19050</xdr:rowOff>
    </xdr:from>
    <xdr:to>
      <xdr:col>25</xdr:col>
      <xdr:colOff>9525</xdr:colOff>
      <xdr:row>6</xdr:row>
      <xdr:rowOff>123825</xdr:rowOff>
    </xdr:to>
    <xdr:sp macro="" textlink="">
      <xdr:nvSpPr>
        <xdr:cNvPr id="160170" name="Rectangle 24">
          <a:extLst>
            <a:ext uri="{FF2B5EF4-FFF2-40B4-BE49-F238E27FC236}">
              <a16:creationId xmlns:a16="http://schemas.microsoft.com/office/drawing/2014/main" id="{00000000-0008-0000-0200-0000AA710200}"/>
            </a:ext>
          </a:extLst>
        </xdr:cNvPr>
        <xdr:cNvSpPr>
          <a:spLocks noChangeArrowheads="1"/>
        </xdr:cNvSpPr>
      </xdr:nvSpPr>
      <xdr:spPr bwMode="auto">
        <a:xfrm>
          <a:off x="3648075" y="1219200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66675</xdr:colOff>
      <xdr:row>5</xdr:row>
      <xdr:rowOff>19050</xdr:rowOff>
    </xdr:from>
    <xdr:to>
      <xdr:col>30</xdr:col>
      <xdr:colOff>9525</xdr:colOff>
      <xdr:row>5</xdr:row>
      <xdr:rowOff>123825</xdr:rowOff>
    </xdr:to>
    <xdr:sp macro="" textlink="">
      <xdr:nvSpPr>
        <xdr:cNvPr id="160171" name="Rectangle 26">
          <a:extLst>
            <a:ext uri="{FF2B5EF4-FFF2-40B4-BE49-F238E27FC236}">
              <a16:creationId xmlns:a16="http://schemas.microsoft.com/office/drawing/2014/main" id="{00000000-0008-0000-0200-0000AB710200}"/>
            </a:ext>
          </a:extLst>
        </xdr:cNvPr>
        <xdr:cNvSpPr>
          <a:spLocks noChangeArrowheads="1"/>
        </xdr:cNvSpPr>
      </xdr:nvSpPr>
      <xdr:spPr bwMode="auto">
        <a:xfrm>
          <a:off x="4362450" y="10572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13</xdr:row>
      <xdr:rowOff>19050</xdr:rowOff>
    </xdr:from>
    <xdr:to>
      <xdr:col>30</xdr:col>
      <xdr:colOff>9525</xdr:colOff>
      <xdr:row>13</xdr:row>
      <xdr:rowOff>123825</xdr:rowOff>
    </xdr:to>
    <xdr:sp macro="" textlink="">
      <xdr:nvSpPr>
        <xdr:cNvPr id="160172" name="Rectangle 27">
          <a:extLst>
            <a:ext uri="{FF2B5EF4-FFF2-40B4-BE49-F238E27FC236}">
              <a16:creationId xmlns:a16="http://schemas.microsoft.com/office/drawing/2014/main" id="{00000000-0008-0000-0200-0000AC710200}"/>
            </a:ext>
          </a:extLst>
        </xdr:cNvPr>
        <xdr:cNvSpPr>
          <a:spLocks noChangeArrowheads="1"/>
        </xdr:cNvSpPr>
      </xdr:nvSpPr>
      <xdr:spPr bwMode="auto">
        <a:xfrm>
          <a:off x="4362450" y="23526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14</xdr:row>
      <xdr:rowOff>19050</xdr:rowOff>
    </xdr:from>
    <xdr:to>
      <xdr:col>30</xdr:col>
      <xdr:colOff>9525</xdr:colOff>
      <xdr:row>14</xdr:row>
      <xdr:rowOff>123825</xdr:rowOff>
    </xdr:to>
    <xdr:sp macro="" textlink="">
      <xdr:nvSpPr>
        <xdr:cNvPr id="160173" name="Rectangle 28">
          <a:extLst>
            <a:ext uri="{FF2B5EF4-FFF2-40B4-BE49-F238E27FC236}">
              <a16:creationId xmlns:a16="http://schemas.microsoft.com/office/drawing/2014/main" id="{00000000-0008-0000-0200-0000AD710200}"/>
            </a:ext>
          </a:extLst>
        </xdr:cNvPr>
        <xdr:cNvSpPr>
          <a:spLocks noChangeArrowheads="1"/>
        </xdr:cNvSpPr>
      </xdr:nvSpPr>
      <xdr:spPr bwMode="auto">
        <a:xfrm>
          <a:off x="4362450" y="25146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15</xdr:row>
      <xdr:rowOff>19050</xdr:rowOff>
    </xdr:from>
    <xdr:to>
      <xdr:col>30</xdr:col>
      <xdr:colOff>9525</xdr:colOff>
      <xdr:row>15</xdr:row>
      <xdr:rowOff>123825</xdr:rowOff>
    </xdr:to>
    <xdr:sp macro="" textlink="">
      <xdr:nvSpPr>
        <xdr:cNvPr id="160174" name="Rectangle 29">
          <a:extLst>
            <a:ext uri="{FF2B5EF4-FFF2-40B4-BE49-F238E27FC236}">
              <a16:creationId xmlns:a16="http://schemas.microsoft.com/office/drawing/2014/main" id="{00000000-0008-0000-0200-0000AE710200}"/>
            </a:ext>
          </a:extLst>
        </xdr:cNvPr>
        <xdr:cNvSpPr>
          <a:spLocks noChangeArrowheads="1"/>
        </xdr:cNvSpPr>
      </xdr:nvSpPr>
      <xdr:spPr bwMode="auto">
        <a:xfrm>
          <a:off x="4362450" y="26765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9</xdr:row>
      <xdr:rowOff>19050</xdr:rowOff>
    </xdr:from>
    <xdr:to>
      <xdr:col>37</xdr:col>
      <xdr:colOff>9525</xdr:colOff>
      <xdr:row>9</xdr:row>
      <xdr:rowOff>123825</xdr:rowOff>
    </xdr:to>
    <xdr:sp macro="" textlink="">
      <xdr:nvSpPr>
        <xdr:cNvPr id="160175" name="Rectangle 30">
          <a:extLst>
            <a:ext uri="{FF2B5EF4-FFF2-40B4-BE49-F238E27FC236}">
              <a16:creationId xmlns:a16="http://schemas.microsoft.com/office/drawing/2014/main" id="{00000000-0008-0000-0200-0000AF710200}"/>
            </a:ext>
          </a:extLst>
        </xdr:cNvPr>
        <xdr:cNvSpPr>
          <a:spLocks noChangeArrowheads="1"/>
        </xdr:cNvSpPr>
      </xdr:nvSpPr>
      <xdr:spPr bwMode="auto">
        <a:xfrm>
          <a:off x="5219700" y="17049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13</xdr:row>
      <xdr:rowOff>19050</xdr:rowOff>
    </xdr:from>
    <xdr:to>
      <xdr:col>37</xdr:col>
      <xdr:colOff>9525</xdr:colOff>
      <xdr:row>13</xdr:row>
      <xdr:rowOff>123825</xdr:rowOff>
    </xdr:to>
    <xdr:sp macro="" textlink="">
      <xdr:nvSpPr>
        <xdr:cNvPr id="160176" name="Rectangle 31">
          <a:extLst>
            <a:ext uri="{FF2B5EF4-FFF2-40B4-BE49-F238E27FC236}">
              <a16:creationId xmlns:a16="http://schemas.microsoft.com/office/drawing/2014/main" id="{00000000-0008-0000-0200-0000B0710200}"/>
            </a:ext>
          </a:extLst>
        </xdr:cNvPr>
        <xdr:cNvSpPr>
          <a:spLocks noChangeArrowheads="1"/>
        </xdr:cNvSpPr>
      </xdr:nvSpPr>
      <xdr:spPr bwMode="auto">
        <a:xfrm>
          <a:off x="5219700" y="23526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14</xdr:row>
      <xdr:rowOff>19050</xdr:rowOff>
    </xdr:from>
    <xdr:to>
      <xdr:col>37</xdr:col>
      <xdr:colOff>9525</xdr:colOff>
      <xdr:row>14</xdr:row>
      <xdr:rowOff>123825</xdr:rowOff>
    </xdr:to>
    <xdr:sp macro="" textlink="">
      <xdr:nvSpPr>
        <xdr:cNvPr id="160177" name="Rectangle 32">
          <a:extLst>
            <a:ext uri="{FF2B5EF4-FFF2-40B4-BE49-F238E27FC236}">
              <a16:creationId xmlns:a16="http://schemas.microsoft.com/office/drawing/2014/main" id="{00000000-0008-0000-0200-0000B1710200}"/>
            </a:ext>
          </a:extLst>
        </xdr:cNvPr>
        <xdr:cNvSpPr>
          <a:spLocks noChangeArrowheads="1"/>
        </xdr:cNvSpPr>
      </xdr:nvSpPr>
      <xdr:spPr bwMode="auto">
        <a:xfrm>
          <a:off x="5219700" y="25146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15</xdr:row>
      <xdr:rowOff>19050</xdr:rowOff>
    </xdr:from>
    <xdr:to>
      <xdr:col>37</xdr:col>
      <xdr:colOff>9525</xdr:colOff>
      <xdr:row>15</xdr:row>
      <xdr:rowOff>123825</xdr:rowOff>
    </xdr:to>
    <xdr:sp macro="" textlink="">
      <xdr:nvSpPr>
        <xdr:cNvPr id="160178" name="Rectangle 33">
          <a:extLst>
            <a:ext uri="{FF2B5EF4-FFF2-40B4-BE49-F238E27FC236}">
              <a16:creationId xmlns:a16="http://schemas.microsoft.com/office/drawing/2014/main" id="{00000000-0008-0000-0200-0000B2710200}"/>
            </a:ext>
          </a:extLst>
        </xdr:cNvPr>
        <xdr:cNvSpPr>
          <a:spLocks noChangeArrowheads="1"/>
        </xdr:cNvSpPr>
      </xdr:nvSpPr>
      <xdr:spPr bwMode="auto">
        <a:xfrm>
          <a:off x="5219700" y="26765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13</xdr:row>
      <xdr:rowOff>19050</xdr:rowOff>
    </xdr:from>
    <xdr:to>
      <xdr:col>37</xdr:col>
      <xdr:colOff>9525</xdr:colOff>
      <xdr:row>13</xdr:row>
      <xdr:rowOff>123825</xdr:rowOff>
    </xdr:to>
    <xdr:sp macro="" textlink="">
      <xdr:nvSpPr>
        <xdr:cNvPr id="160179" name="Rectangle 34">
          <a:extLst>
            <a:ext uri="{FF2B5EF4-FFF2-40B4-BE49-F238E27FC236}">
              <a16:creationId xmlns:a16="http://schemas.microsoft.com/office/drawing/2014/main" id="{00000000-0008-0000-0200-0000B3710200}"/>
            </a:ext>
          </a:extLst>
        </xdr:cNvPr>
        <xdr:cNvSpPr>
          <a:spLocks noChangeArrowheads="1"/>
        </xdr:cNvSpPr>
      </xdr:nvSpPr>
      <xdr:spPr bwMode="auto">
        <a:xfrm>
          <a:off x="5219700" y="23526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14</xdr:row>
      <xdr:rowOff>19050</xdr:rowOff>
    </xdr:from>
    <xdr:to>
      <xdr:col>37</xdr:col>
      <xdr:colOff>9525</xdr:colOff>
      <xdr:row>14</xdr:row>
      <xdr:rowOff>123825</xdr:rowOff>
    </xdr:to>
    <xdr:sp macro="" textlink="">
      <xdr:nvSpPr>
        <xdr:cNvPr id="160180" name="Rectangle 35">
          <a:extLst>
            <a:ext uri="{FF2B5EF4-FFF2-40B4-BE49-F238E27FC236}">
              <a16:creationId xmlns:a16="http://schemas.microsoft.com/office/drawing/2014/main" id="{00000000-0008-0000-0200-0000B4710200}"/>
            </a:ext>
          </a:extLst>
        </xdr:cNvPr>
        <xdr:cNvSpPr>
          <a:spLocks noChangeArrowheads="1"/>
        </xdr:cNvSpPr>
      </xdr:nvSpPr>
      <xdr:spPr bwMode="auto">
        <a:xfrm>
          <a:off x="5219700" y="25146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15</xdr:row>
      <xdr:rowOff>19050</xdr:rowOff>
    </xdr:from>
    <xdr:to>
      <xdr:col>37</xdr:col>
      <xdr:colOff>9525</xdr:colOff>
      <xdr:row>15</xdr:row>
      <xdr:rowOff>123825</xdr:rowOff>
    </xdr:to>
    <xdr:sp macro="" textlink="">
      <xdr:nvSpPr>
        <xdr:cNvPr id="160181" name="Rectangle 36">
          <a:extLst>
            <a:ext uri="{FF2B5EF4-FFF2-40B4-BE49-F238E27FC236}">
              <a16:creationId xmlns:a16="http://schemas.microsoft.com/office/drawing/2014/main" id="{00000000-0008-0000-0200-0000B5710200}"/>
            </a:ext>
          </a:extLst>
        </xdr:cNvPr>
        <xdr:cNvSpPr>
          <a:spLocks noChangeArrowheads="1"/>
        </xdr:cNvSpPr>
      </xdr:nvSpPr>
      <xdr:spPr bwMode="auto">
        <a:xfrm>
          <a:off x="5219700" y="26765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17</xdr:row>
      <xdr:rowOff>19050</xdr:rowOff>
    </xdr:from>
    <xdr:to>
      <xdr:col>37</xdr:col>
      <xdr:colOff>9525</xdr:colOff>
      <xdr:row>17</xdr:row>
      <xdr:rowOff>123825</xdr:rowOff>
    </xdr:to>
    <xdr:sp macro="" textlink="">
      <xdr:nvSpPr>
        <xdr:cNvPr id="160182" name="Rectangle 37">
          <a:extLst>
            <a:ext uri="{FF2B5EF4-FFF2-40B4-BE49-F238E27FC236}">
              <a16:creationId xmlns:a16="http://schemas.microsoft.com/office/drawing/2014/main" id="{00000000-0008-0000-0200-0000B6710200}"/>
            </a:ext>
          </a:extLst>
        </xdr:cNvPr>
        <xdr:cNvSpPr>
          <a:spLocks noChangeArrowheads="1"/>
        </xdr:cNvSpPr>
      </xdr:nvSpPr>
      <xdr:spPr bwMode="auto">
        <a:xfrm>
          <a:off x="5219700" y="30003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17</xdr:row>
      <xdr:rowOff>19050</xdr:rowOff>
    </xdr:from>
    <xdr:to>
      <xdr:col>37</xdr:col>
      <xdr:colOff>9525</xdr:colOff>
      <xdr:row>17</xdr:row>
      <xdr:rowOff>123825</xdr:rowOff>
    </xdr:to>
    <xdr:sp macro="" textlink="">
      <xdr:nvSpPr>
        <xdr:cNvPr id="160183" name="Rectangle 38">
          <a:extLst>
            <a:ext uri="{FF2B5EF4-FFF2-40B4-BE49-F238E27FC236}">
              <a16:creationId xmlns:a16="http://schemas.microsoft.com/office/drawing/2014/main" id="{00000000-0008-0000-0200-0000B7710200}"/>
            </a:ext>
          </a:extLst>
        </xdr:cNvPr>
        <xdr:cNvSpPr>
          <a:spLocks noChangeArrowheads="1"/>
        </xdr:cNvSpPr>
      </xdr:nvSpPr>
      <xdr:spPr bwMode="auto">
        <a:xfrm>
          <a:off x="5219700" y="30003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20</xdr:row>
      <xdr:rowOff>19050</xdr:rowOff>
    </xdr:from>
    <xdr:to>
      <xdr:col>17</xdr:col>
      <xdr:colOff>9525</xdr:colOff>
      <xdr:row>20</xdr:row>
      <xdr:rowOff>123825</xdr:rowOff>
    </xdr:to>
    <xdr:sp macro="" textlink="">
      <xdr:nvSpPr>
        <xdr:cNvPr id="160184" name="Rectangle 39">
          <a:extLst>
            <a:ext uri="{FF2B5EF4-FFF2-40B4-BE49-F238E27FC236}">
              <a16:creationId xmlns:a16="http://schemas.microsoft.com/office/drawing/2014/main" id="{00000000-0008-0000-0200-0000B8710200}"/>
            </a:ext>
          </a:extLst>
        </xdr:cNvPr>
        <xdr:cNvSpPr>
          <a:spLocks noChangeArrowheads="1"/>
        </xdr:cNvSpPr>
      </xdr:nvSpPr>
      <xdr:spPr bwMode="auto">
        <a:xfrm>
          <a:off x="2505075" y="34861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21</xdr:row>
      <xdr:rowOff>19050</xdr:rowOff>
    </xdr:from>
    <xdr:to>
      <xdr:col>17</xdr:col>
      <xdr:colOff>9525</xdr:colOff>
      <xdr:row>21</xdr:row>
      <xdr:rowOff>123825</xdr:rowOff>
    </xdr:to>
    <xdr:sp macro="" textlink="">
      <xdr:nvSpPr>
        <xdr:cNvPr id="160185" name="Rectangle 40">
          <a:extLst>
            <a:ext uri="{FF2B5EF4-FFF2-40B4-BE49-F238E27FC236}">
              <a16:creationId xmlns:a16="http://schemas.microsoft.com/office/drawing/2014/main" id="{00000000-0008-0000-0200-0000B9710200}"/>
            </a:ext>
          </a:extLst>
        </xdr:cNvPr>
        <xdr:cNvSpPr>
          <a:spLocks noChangeArrowheads="1"/>
        </xdr:cNvSpPr>
      </xdr:nvSpPr>
      <xdr:spPr bwMode="auto">
        <a:xfrm>
          <a:off x="2505075" y="36480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23</xdr:row>
      <xdr:rowOff>19050</xdr:rowOff>
    </xdr:from>
    <xdr:to>
      <xdr:col>17</xdr:col>
      <xdr:colOff>9525</xdr:colOff>
      <xdr:row>23</xdr:row>
      <xdr:rowOff>123825</xdr:rowOff>
    </xdr:to>
    <xdr:sp macro="" textlink="">
      <xdr:nvSpPr>
        <xdr:cNvPr id="160187" name="Rectangle 42">
          <a:extLst>
            <a:ext uri="{FF2B5EF4-FFF2-40B4-BE49-F238E27FC236}">
              <a16:creationId xmlns:a16="http://schemas.microsoft.com/office/drawing/2014/main" id="{00000000-0008-0000-0200-0000BB710200}"/>
            </a:ext>
          </a:extLst>
        </xdr:cNvPr>
        <xdr:cNvSpPr>
          <a:spLocks noChangeArrowheads="1"/>
        </xdr:cNvSpPr>
      </xdr:nvSpPr>
      <xdr:spPr bwMode="auto">
        <a:xfrm>
          <a:off x="2505075" y="39719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24</xdr:row>
      <xdr:rowOff>19050</xdr:rowOff>
    </xdr:from>
    <xdr:to>
      <xdr:col>17</xdr:col>
      <xdr:colOff>9525</xdr:colOff>
      <xdr:row>24</xdr:row>
      <xdr:rowOff>123825</xdr:rowOff>
    </xdr:to>
    <xdr:sp macro="" textlink="">
      <xdr:nvSpPr>
        <xdr:cNvPr id="160188" name="Rectangle 43">
          <a:extLst>
            <a:ext uri="{FF2B5EF4-FFF2-40B4-BE49-F238E27FC236}">
              <a16:creationId xmlns:a16="http://schemas.microsoft.com/office/drawing/2014/main" id="{00000000-0008-0000-0200-0000BC710200}"/>
            </a:ext>
          </a:extLst>
        </xdr:cNvPr>
        <xdr:cNvSpPr>
          <a:spLocks noChangeArrowheads="1"/>
        </xdr:cNvSpPr>
      </xdr:nvSpPr>
      <xdr:spPr bwMode="auto">
        <a:xfrm>
          <a:off x="2505075" y="41338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25</xdr:row>
      <xdr:rowOff>19050</xdr:rowOff>
    </xdr:from>
    <xdr:to>
      <xdr:col>17</xdr:col>
      <xdr:colOff>9525</xdr:colOff>
      <xdr:row>25</xdr:row>
      <xdr:rowOff>123825</xdr:rowOff>
    </xdr:to>
    <xdr:sp macro="" textlink="">
      <xdr:nvSpPr>
        <xdr:cNvPr id="160189" name="Rectangle 44">
          <a:extLst>
            <a:ext uri="{FF2B5EF4-FFF2-40B4-BE49-F238E27FC236}">
              <a16:creationId xmlns:a16="http://schemas.microsoft.com/office/drawing/2014/main" id="{00000000-0008-0000-0200-0000BD710200}"/>
            </a:ext>
          </a:extLst>
        </xdr:cNvPr>
        <xdr:cNvSpPr>
          <a:spLocks noChangeArrowheads="1"/>
        </xdr:cNvSpPr>
      </xdr:nvSpPr>
      <xdr:spPr bwMode="auto">
        <a:xfrm>
          <a:off x="2505075" y="42957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26</xdr:row>
      <xdr:rowOff>19050</xdr:rowOff>
    </xdr:from>
    <xdr:to>
      <xdr:col>17</xdr:col>
      <xdr:colOff>9525</xdr:colOff>
      <xdr:row>26</xdr:row>
      <xdr:rowOff>123825</xdr:rowOff>
    </xdr:to>
    <xdr:sp macro="" textlink="">
      <xdr:nvSpPr>
        <xdr:cNvPr id="160190" name="Rectangle 45">
          <a:extLst>
            <a:ext uri="{FF2B5EF4-FFF2-40B4-BE49-F238E27FC236}">
              <a16:creationId xmlns:a16="http://schemas.microsoft.com/office/drawing/2014/main" id="{00000000-0008-0000-0200-0000BE710200}"/>
            </a:ext>
          </a:extLst>
        </xdr:cNvPr>
        <xdr:cNvSpPr>
          <a:spLocks noChangeArrowheads="1"/>
        </xdr:cNvSpPr>
      </xdr:nvSpPr>
      <xdr:spPr bwMode="auto">
        <a:xfrm>
          <a:off x="2505075" y="44577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36</xdr:col>
      <xdr:colOff>66675</xdr:colOff>
      <xdr:row>19</xdr:row>
      <xdr:rowOff>19050</xdr:rowOff>
    </xdr:from>
    <xdr:to>
      <xdr:col>37</xdr:col>
      <xdr:colOff>9525</xdr:colOff>
      <xdr:row>19</xdr:row>
      <xdr:rowOff>123825</xdr:rowOff>
    </xdr:to>
    <xdr:sp macro="" textlink="">
      <xdr:nvSpPr>
        <xdr:cNvPr id="160191" name="Rectangle 46">
          <a:extLst>
            <a:ext uri="{FF2B5EF4-FFF2-40B4-BE49-F238E27FC236}">
              <a16:creationId xmlns:a16="http://schemas.microsoft.com/office/drawing/2014/main" id="{00000000-0008-0000-0200-0000BF710200}"/>
            </a:ext>
          </a:extLst>
        </xdr:cNvPr>
        <xdr:cNvSpPr>
          <a:spLocks noChangeArrowheads="1"/>
        </xdr:cNvSpPr>
      </xdr:nvSpPr>
      <xdr:spPr bwMode="auto">
        <a:xfrm>
          <a:off x="5219700" y="33242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20</xdr:row>
      <xdr:rowOff>19050</xdr:rowOff>
    </xdr:from>
    <xdr:to>
      <xdr:col>37</xdr:col>
      <xdr:colOff>9525</xdr:colOff>
      <xdr:row>20</xdr:row>
      <xdr:rowOff>123825</xdr:rowOff>
    </xdr:to>
    <xdr:sp macro="" textlink="">
      <xdr:nvSpPr>
        <xdr:cNvPr id="160192" name="Rectangle 47">
          <a:extLst>
            <a:ext uri="{FF2B5EF4-FFF2-40B4-BE49-F238E27FC236}">
              <a16:creationId xmlns:a16="http://schemas.microsoft.com/office/drawing/2014/main" id="{00000000-0008-0000-0200-0000C0710200}"/>
            </a:ext>
          </a:extLst>
        </xdr:cNvPr>
        <xdr:cNvSpPr>
          <a:spLocks noChangeArrowheads="1"/>
        </xdr:cNvSpPr>
      </xdr:nvSpPr>
      <xdr:spPr bwMode="auto">
        <a:xfrm>
          <a:off x="5219700" y="34861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21</xdr:row>
      <xdr:rowOff>19050</xdr:rowOff>
    </xdr:from>
    <xdr:to>
      <xdr:col>37</xdr:col>
      <xdr:colOff>9525</xdr:colOff>
      <xdr:row>21</xdr:row>
      <xdr:rowOff>123825</xdr:rowOff>
    </xdr:to>
    <xdr:sp macro="" textlink="">
      <xdr:nvSpPr>
        <xdr:cNvPr id="160193" name="Rectangle 48">
          <a:extLst>
            <a:ext uri="{FF2B5EF4-FFF2-40B4-BE49-F238E27FC236}">
              <a16:creationId xmlns:a16="http://schemas.microsoft.com/office/drawing/2014/main" id="{00000000-0008-0000-0200-0000C1710200}"/>
            </a:ext>
          </a:extLst>
        </xdr:cNvPr>
        <xdr:cNvSpPr>
          <a:spLocks noChangeArrowheads="1"/>
        </xdr:cNvSpPr>
      </xdr:nvSpPr>
      <xdr:spPr bwMode="auto">
        <a:xfrm>
          <a:off x="5219700" y="36480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22</xdr:row>
      <xdr:rowOff>19050</xdr:rowOff>
    </xdr:from>
    <xdr:to>
      <xdr:col>37</xdr:col>
      <xdr:colOff>9525</xdr:colOff>
      <xdr:row>22</xdr:row>
      <xdr:rowOff>123825</xdr:rowOff>
    </xdr:to>
    <xdr:sp macro="" textlink="">
      <xdr:nvSpPr>
        <xdr:cNvPr id="160194" name="Rectangle 49">
          <a:extLst>
            <a:ext uri="{FF2B5EF4-FFF2-40B4-BE49-F238E27FC236}">
              <a16:creationId xmlns:a16="http://schemas.microsoft.com/office/drawing/2014/main" id="{00000000-0008-0000-0200-0000C2710200}"/>
            </a:ext>
          </a:extLst>
        </xdr:cNvPr>
        <xdr:cNvSpPr>
          <a:spLocks noChangeArrowheads="1"/>
        </xdr:cNvSpPr>
      </xdr:nvSpPr>
      <xdr:spPr bwMode="auto">
        <a:xfrm>
          <a:off x="5219700" y="38100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66675</xdr:colOff>
      <xdr:row>21</xdr:row>
      <xdr:rowOff>19050</xdr:rowOff>
    </xdr:from>
    <xdr:to>
      <xdr:col>37</xdr:col>
      <xdr:colOff>9525</xdr:colOff>
      <xdr:row>21</xdr:row>
      <xdr:rowOff>123825</xdr:rowOff>
    </xdr:to>
    <xdr:sp macro="" textlink="">
      <xdr:nvSpPr>
        <xdr:cNvPr id="160195" name="Rectangle 50">
          <a:extLst>
            <a:ext uri="{FF2B5EF4-FFF2-40B4-BE49-F238E27FC236}">
              <a16:creationId xmlns:a16="http://schemas.microsoft.com/office/drawing/2014/main" id="{00000000-0008-0000-0200-0000C3710200}"/>
            </a:ext>
          </a:extLst>
        </xdr:cNvPr>
        <xdr:cNvSpPr>
          <a:spLocks noChangeArrowheads="1"/>
        </xdr:cNvSpPr>
      </xdr:nvSpPr>
      <xdr:spPr bwMode="auto">
        <a:xfrm>
          <a:off x="5219700" y="36480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28575</xdr:colOff>
      <xdr:row>33</xdr:row>
      <xdr:rowOff>12700</xdr:rowOff>
    </xdr:from>
    <xdr:to>
      <xdr:col>1</xdr:col>
      <xdr:colOff>114300</xdr:colOff>
      <xdr:row>38</xdr:row>
      <xdr:rowOff>134619</xdr:rowOff>
    </xdr:to>
    <xdr:sp macro="" textlink="">
      <xdr:nvSpPr>
        <xdr:cNvPr id="135" name="Texto 190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 txBox="1">
          <a:spLocks noChangeArrowheads="1"/>
        </xdr:cNvSpPr>
      </xdr:nvSpPr>
      <xdr:spPr bwMode="auto">
        <a:xfrm>
          <a:off x="28575" y="4943475"/>
          <a:ext cx="228600" cy="7715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28575</xdr:colOff>
      <xdr:row>46</xdr:row>
      <xdr:rowOff>12700</xdr:rowOff>
    </xdr:from>
    <xdr:to>
      <xdr:col>1</xdr:col>
      <xdr:colOff>114300</xdr:colOff>
      <xdr:row>51</xdr:row>
      <xdr:rowOff>125141</xdr:rowOff>
    </xdr:to>
    <xdr:sp macro="" textlink="">
      <xdr:nvSpPr>
        <xdr:cNvPr id="136" name="Texto 192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 txBox="1">
          <a:spLocks noChangeArrowheads="1"/>
        </xdr:cNvSpPr>
      </xdr:nvSpPr>
      <xdr:spPr bwMode="auto">
        <a:xfrm>
          <a:off x="28575" y="6638925"/>
          <a:ext cx="228600" cy="7715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24</xdr:col>
      <xdr:colOff>66675</xdr:colOff>
      <xdr:row>4</xdr:row>
      <xdr:rowOff>19050</xdr:rowOff>
    </xdr:from>
    <xdr:to>
      <xdr:col>25</xdr:col>
      <xdr:colOff>9525</xdr:colOff>
      <xdr:row>4</xdr:row>
      <xdr:rowOff>123825</xdr:rowOff>
    </xdr:to>
    <xdr:sp macro="" textlink="">
      <xdr:nvSpPr>
        <xdr:cNvPr id="160198" name="Rectangle 53">
          <a:extLst>
            <a:ext uri="{FF2B5EF4-FFF2-40B4-BE49-F238E27FC236}">
              <a16:creationId xmlns:a16="http://schemas.microsoft.com/office/drawing/2014/main" id="{00000000-0008-0000-0200-0000C6710200}"/>
            </a:ext>
          </a:extLst>
        </xdr:cNvPr>
        <xdr:cNvSpPr>
          <a:spLocks noChangeArrowheads="1"/>
        </xdr:cNvSpPr>
      </xdr:nvSpPr>
      <xdr:spPr bwMode="auto">
        <a:xfrm>
          <a:off x="3648075" y="8953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7</xdr:row>
      <xdr:rowOff>19050</xdr:rowOff>
    </xdr:from>
    <xdr:to>
      <xdr:col>17</xdr:col>
      <xdr:colOff>9525</xdr:colOff>
      <xdr:row>7</xdr:row>
      <xdr:rowOff>123825</xdr:rowOff>
    </xdr:to>
    <xdr:sp macro="" textlink="">
      <xdr:nvSpPr>
        <xdr:cNvPr id="160199" name="Rectangle 54">
          <a:extLst>
            <a:ext uri="{FF2B5EF4-FFF2-40B4-BE49-F238E27FC236}">
              <a16:creationId xmlns:a16="http://schemas.microsoft.com/office/drawing/2014/main" id="{00000000-0008-0000-0200-0000C7710200}"/>
            </a:ext>
          </a:extLst>
        </xdr:cNvPr>
        <xdr:cNvSpPr>
          <a:spLocks noChangeArrowheads="1"/>
        </xdr:cNvSpPr>
      </xdr:nvSpPr>
      <xdr:spPr bwMode="auto">
        <a:xfrm>
          <a:off x="2505075" y="13811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</xdr:col>
      <xdr:colOff>66675</xdr:colOff>
      <xdr:row>7</xdr:row>
      <xdr:rowOff>19050</xdr:rowOff>
    </xdr:from>
    <xdr:to>
      <xdr:col>25</xdr:col>
      <xdr:colOff>9525</xdr:colOff>
      <xdr:row>7</xdr:row>
      <xdr:rowOff>123825</xdr:rowOff>
    </xdr:to>
    <xdr:sp macro="" textlink="">
      <xdr:nvSpPr>
        <xdr:cNvPr id="160200" name="Rectangle 55">
          <a:extLst>
            <a:ext uri="{FF2B5EF4-FFF2-40B4-BE49-F238E27FC236}">
              <a16:creationId xmlns:a16="http://schemas.microsoft.com/office/drawing/2014/main" id="{00000000-0008-0000-0200-0000C8710200}"/>
            </a:ext>
          </a:extLst>
        </xdr:cNvPr>
        <xdr:cNvSpPr>
          <a:spLocks noChangeArrowheads="1"/>
        </xdr:cNvSpPr>
      </xdr:nvSpPr>
      <xdr:spPr bwMode="auto">
        <a:xfrm>
          <a:off x="3648075" y="1381125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66675</xdr:colOff>
      <xdr:row>8</xdr:row>
      <xdr:rowOff>19050</xdr:rowOff>
    </xdr:from>
    <xdr:to>
      <xdr:col>17</xdr:col>
      <xdr:colOff>9525</xdr:colOff>
      <xdr:row>8</xdr:row>
      <xdr:rowOff>123825</xdr:rowOff>
    </xdr:to>
    <xdr:sp macro="" textlink="">
      <xdr:nvSpPr>
        <xdr:cNvPr id="160201" name="Rectangle 56">
          <a:extLst>
            <a:ext uri="{FF2B5EF4-FFF2-40B4-BE49-F238E27FC236}">
              <a16:creationId xmlns:a16="http://schemas.microsoft.com/office/drawing/2014/main" id="{00000000-0008-0000-0200-0000C9710200}"/>
            </a:ext>
          </a:extLst>
        </xdr:cNvPr>
        <xdr:cNvSpPr>
          <a:spLocks noChangeArrowheads="1"/>
        </xdr:cNvSpPr>
      </xdr:nvSpPr>
      <xdr:spPr bwMode="auto">
        <a:xfrm>
          <a:off x="2505075" y="1543050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8</xdr:row>
      <xdr:rowOff>19050</xdr:rowOff>
    </xdr:from>
    <xdr:to>
      <xdr:col>25</xdr:col>
      <xdr:colOff>9525</xdr:colOff>
      <xdr:row>8</xdr:row>
      <xdr:rowOff>123825</xdr:rowOff>
    </xdr:to>
    <xdr:sp macro="" textlink="">
      <xdr:nvSpPr>
        <xdr:cNvPr id="160202" name="Rectangle 57">
          <a:extLst>
            <a:ext uri="{FF2B5EF4-FFF2-40B4-BE49-F238E27FC236}">
              <a16:creationId xmlns:a16="http://schemas.microsoft.com/office/drawing/2014/main" id="{00000000-0008-0000-0200-0000CA710200}"/>
            </a:ext>
          </a:extLst>
        </xdr:cNvPr>
        <xdr:cNvSpPr>
          <a:spLocks noChangeArrowheads="1"/>
        </xdr:cNvSpPr>
      </xdr:nvSpPr>
      <xdr:spPr bwMode="auto">
        <a:xfrm>
          <a:off x="3648075" y="15430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6</xdr:row>
      <xdr:rowOff>19050</xdr:rowOff>
    </xdr:from>
    <xdr:to>
      <xdr:col>30</xdr:col>
      <xdr:colOff>9525</xdr:colOff>
      <xdr:row>6</xdr:row>
      <xdr:rowOff>123825</xdr:rowOff>
    </xdr:to>
    <xdr:sp macro="" textlink="">
      <xdr:nvSpPr>
        <xdr:cNvPr id="160203" name="Rectangle 58">
          <a:extLst>
            <a:ext uri="{FF2B5EF4-FFF2-40B4-BE49-F238E27FC236}">
              <a16:creationId xmlns:a16="http://schemas.microsoft.com/office/drawing/2014/main" id="{00000000-0008-0000-0200-0000CB710200}"/>
            </a:ext>
          </a:extLst>
        </xdr:cNvPr>
        <xdr:cNvSpPr>
          <a:spLocks noChangeArrowheads="1"/>
        </xdr:cNvSpPr>
      </xdr:nvSpPr>
      <xdr:spPr bwMode="auto">
        <a:xfrm>
          <a:off x="4362450" y="12192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10</xdr:row>
      <xdr:rowOff>19050</xdr:rowOff>
    </xdr:from>
    <xdr:to>
      <xdr:col>30</xdr:col>
      <xdr:colOff>9525</xdr:colOff>
      <xdr:row>10</xdr:row>
      <xdr:rowOff>123825</xdr:rowOff>
    </xdr:to>
    <xdr:sp macro="" textlink="">
      <xdr:nvSpPr>
        <xdr:cNvPr id="160204" name="Rectangle 59">
          <a:extLst>
            <a:ext uri="{FF2B5EF4-FFF2-40B4-BE49-F238E27FC236}">
              <a16:creationId xmlns:a16="http://schemas.microsoft.com/office/drawing/2014/main" id="{00000000-0008-0000-0200-0000CC710200}"/>
            </a:ext>
          </a:extLst>
        </xdr:cNvPr>
        <xdr:cNvSpPr>
          <a:spLocks noChangeArrowheads="1"/>
        </xdr:cNvSpPr>
      </xdr:nvSpPr>
      <xdr:spPr bwMode="auto">
        <a:xfrm>
          <a:off x="4362450" y="18669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</xdr:col>
      <xdr:colOff>66675</xdr:colOff>
      <xdr:row>12</xdr:row>
      <xdr:rowOff>19050</xdr:rowOff>
    </xdr:from>
    <xdr:to>
      <xdr:col>25</xdr:col>
      <xdr:colOff>9525</xdr:colOff>
      <xdr:row>12</xdr:row>
      <xdr:rowOff>123825</xdr:rowOff>
    </xdr:to>
    <xdr:sp macro="" textlink="">
      <xdr:nvSpPr>
        <xdr:cNvPr id="160205" name="Rectangle 60">
          <a:extLst>
            <a:ext uri="{FF2B5EF4-FFF2-40B4-BE49-F238E27FC236}">
              <a16:creationId xmlns:a16="http://schemas.microsoft.com/office/drawing/2014/main" id="{00000000-0008-0000-0200-0000CD710200}"/>
            </a:ext>
          </a:extLst>
        </xdr:cNvPr>
        <xdr:cNvSpPr>
          <a:spLocks noChangeArrowheads="1"/>
        </xdr:cNvSpPr>
      </xdr:nvSpPr>
      <xdr:spPr bwMode="auto">
        <a:xfrm>
          <a:off x="3648075" y="2190750"/>
          <a:ext cx="85725" cy="104775"/>
        </a:xfrm>
        <a:prstGeom prst="rect">
          <a:avLst/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66675</xdr:colOff>
      <xdr:row>16</xdr:row>
      <xdr:rowOff>19050</xdr:rowOff>
    </xdr:from>
    <xdr:to>
      <xdr:col>37</xdr:col>
      <xdr:colOff>9525</xdr:colOff>
      <xdr:row>16</xdr:row>
      <xdr:rowOff>123825</xdr:rowOff>
    </xdr:to>
    <xdr:sp macro="" textlink="">
      <xdr:nvSpPr>
        <xdr:cNvPr id="160206" name="Rectangle 61">
          <a:extLst>
            <a:ext uri="{FF2B5EF4-FFF2-40B4-BE49-F238E27FC236}">
              <a16:creationId xmlns:a16="http://schemas.microsoft.com/office/drawing/2014/main" id="{00000000-0008-0000-0200-0000CE710200}"/>
            </a:ext>
          </a:extLst>
        </xdr:cNvPr>
        <xdr:cNvSpPr>
          <a:spLocks noChangeArrowheads="1"/>
        </xdr:cNvSpPr>
      </xdr:nvSpPr>
      <xdr:spPr bwMode="auto">
        <a:xfrm>
          <a:off x="5219700" y="28384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16</xdr:row>
      <xdr:rowOff>19050</xdr:rowOff>
    </xdr:from>
    <xdr:to>
      <xdr:col>30</xdr:col>
      <xdr:colOff>9525</xdr:colOff>
      <xdr:row>16</xdr:row>
      <xdr:rowOff>123825</xdr:rowOff>
    </xdr:to>
    <xdr:sp macro="" textlink="">
      <xdr:nvSpPr>
        <xdr:cNvPr id="160207" name="Rectangle 62">
          <a:extLst>
            <a:ext uri="{FF2B5EF4-FFF2-40B4-BE49-F238E27FC236}">
              <a16:creationId xmlns:a16="http://schemas.microsoft.com/office/drawing/2014/main" id="{00000000-0008-0000-0200-0000CF710200}"/>
            </a:ext>
          </a:extLst>
        </xdr:cNvPr>
        <xdr:cNvSpPr>
          <a:spLocks noChangeArrowheads="1"/>
        </xdr:cNvSpPr>
      </xdr:nvSpPr>
      <xdr:spPr bwMode="auto">
        <a:xfrm>
          <a:off x="4362450" y="28384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24</xdr:col>
      <xdr:colOff>66675</xdr:colOff>
      <xdr:row>16</xdr:row>
      <xdr:rowOff>19050</xdr:rowOff>
    </xdr:from>
    <xdr:to>
      <xdr:col>25</xdr:col>
      <xdr:colOff>9525</xdr:colOff>
      <xdr:row>16</xdr:row>
      <xdr:rowOff>123825</xdr:rowOff>
    </xdr:to>
    <xdr:sp macro="" textlink="">
      <xdr:nvSpPr>
        <xdr:cNvPr id="160208" name="Rectangle 63">
          <a:extLst>
            <a:ext uri="{FF2B5EF4-FFF2-40B4-BE49-F238E27FC236}">
              <a16:creationId xmlns:a16="http://schemas.microsoft.com/office/drawing/2014/main" id="{00000000-0008-0000-0200-0000D0710200}"/>
            </a:ext>
          </a:extLst>
        </xdr:cNvPr>
        <xdr:cNvSpPr>
          <a:spLocks noChangeArrowheads="1"/>
        </xdr:cNvSpPr>
      </xdr:nvSpPr>
      <xdr:spPr bwMode="auto">
        <a:xfrm>
          <a:off x="3648075" y="2838450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66675</xdr:colOff>
      <xdr:row>17</xdr:row>
      <xdr:rowOff>19050</xdr:rowOff>
    </xdr:from>
    <xdr:to>
      <xdr:col>30</xdr:col>
      <xdr:colOff>9525</xdr:colOff>
      <xdr:row>17</xdr:row>
      <xdr:rowOff>123825</xdr:rowOff>
    </xdr:to>
    <xdr:sp macro="" textlink="">
      <xdr:nvSpPr>
        <xdr:cNvPr id="160209" name="Rectangle 64">
          <a:extLst>
            <a:ext uri="{FF2B5EF4-FFF2-40B4-BE49-F238E27FC236}">
              <a16:creationId xmlns:a16="http://schemas.microsoft.com/office/drawing/2014/main" id="{00000000-0008-0000-0200-0000D1710200}"/>
            </a:ext>
          </a:extLst>
        </xdr:cNvPr>
        <xdr:cNvSpPr>
          <a:spLocks noChangeArrowheads="1"/>
        </xdr:cNvSpPr>
      </xdr:nvSpPr>
      <xdr:spPr bwMode="auto">
        <a:xfrm>
          <a:off x="4362450" y="30003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</xdr:col>
      <xdr:colOff>66675</xdr:colOff>
      <xdr:row>17</xdr:row>
      <xdr:rowOff>19050</xdr:rowOff>
    </xdr:from>
    <xdr:to>
      <xdr:col>25</xdr:col>
      <xdr:colOff>9525</xdr:colOff>
      <xdr:row>17</xdr:row>
      <xdr:rowOff>123825</xdr:rowOff>
    </xdr:to>
    <xdr:sp macro="" textlink="">
      <xdr:nvSpPr>
        <xdr:cNvPr id="160210" name="Rectangle 65">
          <a:extLst>
            <a:ext uri="{FF2B5EF4-FFF2-40B4-BE49-F238E27FC236}">
              <a16:creationId xmlns:a16="http://schemas.microsoft.com/office/drawing/2014/main" id="{00000000-0008-0000-0200-0000D2710200}"/>
            </a:ext>
          </a:extLst>
        </xdr:cNvPr>
        <xdr:cNvSpPr>
          <a:spLocks noChangeArrowheads="1"/>
        </xdr:cNvSpPr>
      </xdr:nvSpPr>
      <xdr:spPr bwMode="auto">
        <a:xfrm>
          <a:off x="3648075" y="3000375"/>
          <a:ext cx="85725" cy="104775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66675</xdr:colOff>
      <xdr:row>19</xdr:row>
      <xdr:rowOff>19050</xdr:rowOff>
    </xdr:from>
    <xdr:to>
      <xdr:col>30</xdr:col>
      <xdr:colOff>9525</xdr:colOff>
      <xdr:row>19</xdr:row>
      <xdr:rowOff>123825</xdr:rowOff>
    </xdr:to>
    <xdr:sp macro="" textlink="">
      <xdr:nvSpPr>
        <xdr:cNvPr id="160211" name="Rectangle 66">
          <a:extLst>
            <a:ext uri="{FF2B5EF4-FFF2-40B4-BE49-F238E27FC236}">
              <a16:creationId xmlns:a16="http://schemas.microsoft.com/office/drawing/2014/main" id="{00000000-0008-0000-0200-0000D3710200}"/>
            </a:ext>
          </a:extLst>
        </xdr:cNvPr>
        <xdr:cNvSpPr>
          <a:spLocks noChangeArrowheads="1"/>
        </xdr:cNvSpPr>
      </xdr:nvSpPr>
      <xdr:spPr bwMode="auto">
        <a:xfrm>
          <a:off x="4362450" y="3324225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66675</xdr:colOff>
      <xdr:row>20</xdr:row>
      <xdr:rowOff>19050</xdr:rowOff>
    </xdr:from>
    <xdr:to>
      <xdr:col>30</xdr:col>
      <xdr:colOff>9525</xdr:colOff>
      <xdr:row>20</xdr:row>
      <xdr:rowOff>123825</xdr:rowOff>
    </xdr:to>
    <xdr:sp macro="" textlink="">
      <xdr:nvSpPr>
        <xdr:cNvPr id="160212" name="Rectangle 67">
          <a:extLst>
            <a:ext uri="{FF2B5EF4-FFF2-40B4-BE49-F238E27FC236}">
              <a16:creationId xmlns:a16="http://schemas.microsoft.com/office/drawing/2014/main" id="{00000000-0008-0000-0200-0000D4710200}"/>
            </a:ext>
          </a:extLst>
        </xdr:cNvPr>
        <xdr:cNvSpPr>
          <a:spLocks noChangeArrowheads="1"/>
        </xdr:cNvSpPr>
      </xdr:nvSpPr>
      <xdr:spPr bwMode="auto">
        <a:xfrm>
          <a:off x="4362450" y="34861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21</xdr:row>
      <xdr:rowOff>19050</xdr:rowOff>
    </xdr:from>
    <xdr:to>
      <xdr:col>30</xdr:col>
      <xdr:colOff>9525</xdr:colOff>
      <xdr:row>21</xdr:row>
      <xdr:rowOff>123825</xdr:rowOff>
    </xdr:to>
    <xdr:sp macro="" textlink="">
      <xdr:nvSpPr>
        <xdr:cNvPr id="160213" name="Rectangle 68">
          <a:extLst>
            <a:ext uri="{FF2B5EF4-FFF2-40B4-BE49-F238E27FC236}">
              <a16:creationId xmlns:a16="http://schemas.microsoft.com/office/drawing/2014/main" id="{00000000-0008-0000-0200-0000D5710200}"/>
            </a:ext>
          </a:extLst>
        </xdr:cNvPr>
        <xdr:cNvSpPr>
          <a:spLocks noChangeArrowheads="1"/>
        </xdr:cNvSpPr>
      </xdr:nvSpPr>
      <xdr:spPr bwMode="auto">
        <a:xfrm>
          <a:off x="4362450" y="36480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22</xdr:row>
      <xdr:rowOff>19050</xdr:rowOff>
    </xdr:from>
    <xdr:to>
      <xdr:col>30</xdr:col>
      <xdr:colOff>9525</xdr:colOff>
      <xdr:row>22</xdr:row>
      <xdr:rowOff>123825</xdr:rowOff>
    </xdr:to>
    <xdr:sp macro="" textlink="">
      <xdr:nvSpPr>
        <xdr:cNvPr id="160214" name="Rectangle 69">
          <a:extLst>
            <a:ext uri="{FF2B5EF4-FFF2-40B4-BE49-F238E27FC236}">
              <a16:creationId xmlns:a16="http://schemas.microsoft.com/office/drawing/2014/main" id="{00000000-0008-0000-0200-0000D6710200}"/>
            </a:ext>
          </a:extLst>
        </xdr:cNvPr>
        <xdr:cNvSpPr>
          <a:spLocks noChangeArrowheads="1"/>
        </xdr:cNvSpPr>
      </xdr:nvSpPr>
      <xdr:spPr bwMode="auto">
        <a:xfrm>
          <a:off x="4362450" y="38100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24</xdr:row>
      <xdr:rowOff>19050</xdr:rowOff>
    </xdr:from>
    <xdr:to>
      <xdr:col>30</xdr:col>
      <xdr:colOff>9525</xdr:colOff>
      <xdr:row>24</xdr:row>
      <xdr:rowOff>123825</xdr:rowOff>
    </xdr:to>
    <xdr:sp macro="" textlink="">
      <xdr:nvSpPr>
        <xdr:cNvPr id="160215" name="Rectangle 70">
          <a:extLst>
            <a:ext uri="{FF2B5EF4-FFF2-40B4-BE49-F238E27FC236}">
              <a16:creationId xmlns:a16="http://schemas.microsoft.com/office/drawing/2014/main" id="{00000000-0008-0000-0200-0000D7710200}"/>
            </a:ext>
          </a:extLst>
        </xdr:cNvPr>
        <xdr:cNvSpPr>
          <a:spLocks noChangeArrowheads="1"/>
        </xdr:cNvSpPr>
      </xdr:nvSpPr>
      <xdr:spPr bwMode="auto">
        <a:xfrm>
          <a:off x="4362450" y="41338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</xdr:col>
      <xdr:colOff>66675</xdr:colOff>
      <xdr:row>19</xdr:row>
      <xdr:rowOff>19050</xdr:rowOff>
    </xdr:from>
    <xdr:to>
      <xdr:col>25</xdr:col>
      <xdr:colOff>9525</xdr:colOff>
      <xdr:row>19</xdr:row>
      <xdr:rowOff>123825</xdr:rowOff>
    </xdr:to>
    <xdr:sp macro="" textlink="">
      <xdr:nvSpPr>
        <xdr:cNvPr id="160216" name="Rectangle 71">
          <a:extLst>
            <a:ext uri="{FF2B5EF4-FFF2-40B4-BE49-F238E27FC236}">
              <a16:creationId xmlns:a16="http://schemas.microsoft.com/office/drawing/2014/main" id="{00000000-0008-0000-0200-0000D8710200}"/>
            </a:ext>
          </a:extLst>
        </xdr:cNvPr>
        <xdr:cNvSpPr>
          <a:spLocks noChangeArrowheads="1"/>
        </xdr:cNvSpPr>
      </xdr:nvSpPr>
      <xdr:spPr bwMode="auto">
        <a:xfrm>
          <a:off x="3648075" y="3324225"/>
          <a:ext cx="85725" cy="104775"/>
        </a:xfrm>
        <a:prstGeom prst="rect">
          <a:avLst/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20</xdr:row>
      <xdr:rowOff>19050</xdr:rowOff>
    </xdr:from>
    <xdr:to>
      <xdr:col>25</xdr:col>
      <xdr:colOff>9525</xdr:colOff>
      <xdr:row>20</xdr:row>
      <xdr:rowOff>123825</xdr:rowOff>
    </xdr:to>
    <xdr:sp macro="" textlink="">
      <xdr:nvSpPr>
        <xdr:cNvPr id="160217" name="Rectangle 72">
          <a:extLst>
            <a:ext uri="{FF2B5EF4-FFF2-40B4-BE49-F238E27FC236}">
              <a16:creationId xmlns:a16="http://schemas.microsoft.com/office/drawing/2014/main" id="{00000000-0008-0000-0200-0000D9710200}"/>
            </a:ext>
          </a:extLst>
        </xdr:cNvPr>
        <xdr:cNvSpPr>
          <a:spLocks noChangeArrowheads="1"/>
        </xdr:cNvSpPr>
      </xdr:nvSpPr>
      <xdr:spPr bwMode="auto">
        <a:xfrm>
          <a:off x="3648075" y="3486150"/>
          <a:ext cx="85725" cy="104775"/>
        </a:xfrm>
        <a:prstGeom prst="rect">
          <a:avLst/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21</xdr:row>
      <xdr:rowOff>19050</xdr:rowOff>
    </xdr:from>
    <xdr:to>
      <xdr:col>25</xdr:col>
      <xdr:colOff>9525</xdr:colOff>
      <xdr:row>21</xdr:row>
      <xdr:rowOff>123825</xdr:rowOff>
    </xdr:to>
    <xdr:sp macro="" textlink="">
      <xdr:nvSpPr>
        <xdr:cNvPr id="160218" name="Rectangle 73">
          <a:extLst>
            <a:ext uri="{FF2B5EF4-FFF2-40B4-BE49-F238E27FC236}">
              <a16:creationId xmlns:a16="http://schemas.microsoft.com/office/drawing/2014/main" id="{00000000-0008-0000-0200-0000DA710200}"/>
            </a:ext>
          </a:extLst>
        </xdr:cNvPr>
        <xdr:cNvSpPr>
          <a:spLocks noChangeArrowheads="1"/>
        </xdr:cNvSpPr>
      </xdr:nvSpPr>
      <xdr:spPr bwMode="auto">
        <a:xfrm>
          <a:off x="3648075" y="3648075"/>
          <a:ext cx="85725" cy="104775"/>
        </a:xfrm>
        <a:prstGeom prst="rect">
          <a:avLst/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66675</xdr:colOff>
      <xdr:row>22</xdr:row>
      <xdr:rowOff>19050</xdr:rowOff>
    </xdr:from>
    <xdr:to>
      <xdr:col>25</xdr:col>
      <xdr:colOff>9525</xdr:colOff>
      <xdr:row>22</xdr:row>
      <xdr:rowOff>123825</xdr:rowOff>
    </xdr:to>
    <xdr:sp macro="" textlink="">
      <xdr:nvSpPr>
        <xdr:cNvPr id="160219" name="Rectangle 74">
          <a:extLst>
            <a:ext uri="{FF2B5EF4-FFF2-40B4-BE49-F238E27FC236}">
              <a16:creationId xmlns:a16="http://schemas.microsoft.com/office/drawing/2014/main" id="{00000000-0008-0000-0200-0000DB710200}"/>
            </a:ext>
          </a:extLst>
        </xdr:cNvPr>
        <xdr:cNvSpPr>
          <a:spLocks noChangeArrowheads="1"/>
        </xdr:cNvSpPr>
      </xdr:nvSpPr>
      <xdr:spPr bwMode="auto">
        <a:xfrm>
          <a:off x="3648075" y="381000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/>
  </xdr:twoCellAnchor>
  <xdr:twoCellAnchor>
    <xdr:from>
      <xdr:col>24</xdr:col>
      <xdr:colOff>66675</xdr:colOff>
      <xdr:row>24</xdr:row>
      <xdr:rowOff>19050</xdr:rowOff>
    </xdr:from>
    <xdr:to>
      <xdr:col>25</xdr:col>
      <xdr:colOff>9525</xdr:colOff>
      <xdr:row>24</xdr:row>
      <xdr:rowOff>123825</xdr:rowOff>
    </xdr:to>
    <xdr:sp macro="" textlink="">
      <xdr:nvSpPr>
        <xdr:cNvPr id="160221" name="Rectangle 76">
          <a:extLst>
            <a:ext uri="{FF2B5EF4-FFF2-40B4-BE49-F238E27FC236}">
              <a16:creationId xmlns:a16="http://schemas.microsoft.com/office/drawing/2014/main" id="{00000000-0008-0000-0200-0000DD710200}"/>
            </a:ext>
          </a:extLst>
        </xdr:cNvPr>
        <xdr:cNvSpPr>
          <a:spLocks noChangeArrowheads="1"/>
        </xdr:cNvSpPr>
      </xdr:nvSpPr>
      <xdr:spPr bwMode="auto">
        <a:xfrm>
          <a:off x="3648075" y="4133850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23</xdr:row>
      <xdr:rowOff>19050</xdr:rowOff>
    </xdr:from>
    <xdr:to>
      <xdr:col>30</xdr:col>
      <xdr:colOff>9525</xdr:colOff>
      <xdr:row>23</xdr:row>
      <xdr:rowOff>123825</xdr:rowOff>
    </xdr:to>
    <xdr:sp macro="" textlink="">
      <xdr:nvSpPr>
        <xdr:cNvPr id="160223" name="Rectangle 78">
          <a:extLst>
            <a:ext uri="{FF2B5EF4-FFF2-40B4-BE49-F238E27FC236}">
              <a16:creationId xmlns:a16="http://schemas.microsoft.com/office/drawing/2014/main" id="{00000000-0008-0000-0200-0000DF710200}"/>
            </a:ext>
          </a:extLst>
        </xdr:cNvPr>
        <xdr:cNvSpPr>
          <a:spLocks noChangeArrowheads="1"/>
        </xdr:cNvSpPr>
      </xdr:nvSpPr>
      <xdr:spPr bwMode="auto">
        <a:xfrm>
          <a:off x="4362450" y="39719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23</xdr:row>
      <xdr:rowOff>19050</xdr:rowOff>
    </xdr:from>
    <xdr:to>
      <xdr:col>30</xdr:col>
      <xdr:colOff>9525</xdr:colOff>
      <xdr:row>23</xdr:row>
      <xdr:rowOff>123825</xdr:rowOff>
    </xdr:to>
    <xdr:sp macro="" textlink="">
      <xdr:nvSpPr>
        <xdr:cNvPr id="160224" name="Rectangle 79">
          <a:extLst>
            <a:ext uri="{FF2B5EF4-FFF2-40B4-BE49-F238E27FC236}">
              <a16:creationId xmlns:a16="http://schemas.microsoft.com/office/drawing/2014/main" id="{00000000-0008-0000-0200-0000E0710200}"/>
            </a:ext>
          </a:extLst>
        </xdr:cNvPr>
        <xdr:cNvSpPr>
          <a:spLocks noChangeArrowheads="1"/>
        </xdr:cNvSpPr>
      </xdr:nvSpPr>
      <xdr:spPr bwMode="auto">
        <a:xfrm>
          <a:off x="4362450" y="39719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25</xdr:row>
      <xdr:rowOff>19050</xdr:rowOff>
    </xdr:from>
    <xdr:to>
      <xdr:col>30</xdr:col>
      <xdr:colOff>9525</xdr:colOff>
      <xdr:row>25</xdr:row>
      <xdr:rowOff>123825</xdr:rowOff>
    </xdr:to>
    <xdr:sp macro="" textlink="">
      <xdr:nvSpPr>
        <xdr:cNvPr id="160225" name="Rectangle 80">
          <a:extLst>
            <a:ext uri="{FF2B5EF4-FFF2-40B4-BE49-F238E27FC236}">
              <a16:creationId xmlns:a16="http://schemas.microsoft.com/office/drawing/2014/main" id="{00000000-0008-0000-0200-0000E1710200}"/>
            </a:ext>
          </a:extLst>
        </xdr:cNvPr>
        <xdr:cNvSpPr>
          <a:spLocks noChangeArrowheads="1"/>
        </xdr:cNvSpPr>
      </xdr:nvSpPr>
      <xdr:spPr bwMode="auto">
        <a:xfrm>
          <a:off x="4362450" y="42957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25</xdr:row>
      <xdr:rowOff>19050</xdr:rowOff>
    </xdr:from>
    <xdr:to>
      <xdr:col>30</xdr:col>
      <xdr:colOff>9525</xdr:colOff>
      <xdr:row>25</xdr:row>
      <xdr:rowOff>123825</xdr:rowOff>
    </xdr:to>
    <xdr:sp macro="" textlink="">
      <xdr:nvSpPr>
        <xdr:cNvPr id="160226" name="Rectangle 81">
          <a:extLst>
            <a:ext uri="{FF2B5EF4-FFF2-40B4-BE49-F238E27FC236}">
              <a16:creationId xmlns:a16="http://schemas.microsoft.com/office/drawing/2014/main" id="{00000000-0008-0000-0200-0000E2710200}"/>
            </a:ext>
          </a:extLst>
        </xdr:cNvPr>
        <xdr:cNvSpPr>
          <a:spLocks noChangeArrowheads="1"/>
        </xdr:cNvSpPr>
      </xdr:nvSpPr>
      <xdr:spPr bwMode="auto">
        <a:xfrm>
          <a:off x="4362450" y="429577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66675</xdr:colOff>
      <xdr:row>27</xdr:row>
      <xdr:rowOff>19050</xdr:rowOff>
    </xdr:from>
    <xdr:to>
      <xdr:col>17</xdr:col>
      <xdr:colOff>9525</xdr:colOff>
      <xdr:row>27</xdr:row>
      <xdr:rowOff>123825</xdr:rowOff>
    </xdr:to>
    <xdr:sp macro="" textlink="">
      <xdr:nvSpPr>
        <xdr:cNvPr id="160227" name="Rectangle 82">
          <a:extLst>
            <a:ext uri="{FF2B5EF4-FFF2-40B4-BE49-F238E27FC236}">
              <a16:creationId xmlns:a16="http://schemas.microsoft.com/office/drawing/2014/main" id="{00000000-0008-0000-0200-0000E3710200}"/>
            </a:ext>
          </a:extLst>
        </xdr:cNvPr>
        <xdr:cNvSpPr>
          <a:spLocks noChangeArrowheads="1"/>
        </xdr:cNvSpPr>
      </xdr:nvSpPr>
      <xdr:spPr bwMode="auto">
        <a:xfrm>
          <a:off x="2505075" y="4619625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66675</xdr:colOff>
      <xdr:row>7</xdr:row>
      <xdr:rowOff>19050</xdr:rowOff>
    </xdr:from>
    <xdr:to>
      <xdr:col>30</xdr:col>
      <xdr:colOff>9525</xdr:colOff>
      <xdr:row>7</xdr:row>
      <xdr:rowOff>123825</xdr:rowOff>
    </xdr:to>
    <xdr:sp macro="" textlink="">
      <xdr:nvSpPr>
        <xdr:cNvPr id="160228" name="Rectangle 83">
          <a:extLst>
            <a:ext uri="{FF2B5EF4-FFF2-40B4-BE49-F238E27FC236}">
              <a16:creationId xmlns:a16="http://schemas.microsoft.com/office/drawing/2014/main" id="{00000000-0008-0000-0200-0000E4710200}"/>
            </a:ext>
          </a:extLst>
        </xdr:cNvPr>
        <xdr:cNvSpPr>
          <a:spLocks noChangeArrowheads="1"/>
        </xdr:cNvSpPr>
      </xdr:nvSpPr>
      <xdr:spPr bwMode="auto">
        <a:xfrm>
          <a:off x="4362450" y="1381125"/>
          <a:ext cx="85725" cy="104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66675</xdr:colOff>
      <xdr:row>9</xdr:row>
      <xdr:rowOff>19050</xdr:rowOff>
    </xdr:from>
    <xdr:to>
      <xdr:col>30</xdr:col>
      <xdr:colOff>9525</xdr:colOff>
      <xdr:row>9</xdr:row>
      <xdr:rowOff>123825</xdr:rowOff>
    </xdr:to>
    <xdr:sp macro="" textlink="">
      <xdr:nvSpPr>
        <xdr:cNvPr id="160229" name="Rectangle 84">
          <a:extLst>
            <a:ext uri="{FF2B5EF4-FFF2-40B4-BE49-F238E27FC236}">
              <a16:creationId xmlns:a16="http://schemas.microsoft.com/office/drawing/2014/main" id="{00000000-0008-0000-0200-0000E5710200}"/>
            </a:ext>
          </a:extLst>
        </xdr:cNvPr>
        <xdr:cNvSpPr>
          <a:spLocks noChangeArrowheads="1"/>
        </xdr:cNvSpPr>
      </xdr:nvSpPr>
      <xdr:spPr bwMode="auto">
        <a:xfrm>
          <a:off x="4362450" y="1704975"/>
          <a:ext cx="857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71" name="Texto 1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 txBox="1">
          <a:spLocks noChangeArrowheads="1"/>
        </xdr:cNvSpPr>
      </xdr:nvSpPr>
      <xdr:spPr bwMode="auto">
        <a:xfrm>
          <a:off x="38100" y="1847850"/>
          <a:ext cx="228600" cy="5524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GERAL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72" name="Texto 23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 txBox="1">
          <a:spLocks noChangeArrowheads="1"/>
        </xdr:cNvSpPr>
      </xdr:nvSpPr>
      <xdr:spPr bwMode="auto">
        <a:xfrm>
          <a:off x="57150" y="3448050"/>
          <a:ext cx="219075" cy="10382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ACESSÓRIOS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32" name="Rectangle 3">
          <a:extLst>
            <a:ext uri="{FF2B5EF4-FFF2-40B4-BE49-F238E27FC236}">
              <a16:creationId xmlns:a16="http://schemas.microsoft.com/office/drawing/2014/main" id="{00000000-0008-0000-0200-0000E8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33" name="Rectangle 4">
          <a:extLst>
            <a:ext uri="{FF2B5EF4-FFF2-40B4-BE49-F238E27FC236}">
              <a16:creationId xmlns:a16="http://schemas.microsoft.com/office/drawing/2014/main" id="{00000000-0008-0000-0200-0000E9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34" name="Rectangle 5">
          <a:extLst>
            <a:ext uri="{FF2B5EF4-FFF2-40B4-BE49-F238E27FC236}">
              <a16:creationId xmlns:a16="http://schemas.microsoft.com/office/drawing/2014/main" id="{00000000-0008-0000-0200-0000EA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35" name="Rectangle 6">
          <a:extLst>
            <a:ext uri="{FF2B5EF4-FFF2-40B4-BE49-F238E27FC236}">
              <a16:creationId xmlns:a16="http://schemas.microsoft.com/office/drawing/2014/main" id="{00000000-0008-0000-0200-0000EB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36" name="Rectangle 7">
          <a:extLst>
            <a:ext uri="{FF2B5EF4-FFF2-40B4-BE49-F238E27FC236}">
              <a16:creationId xmlns:a16="http://schemas.microsoft.com/office/drawing/2014/main" id="{00000000-0008-0000-0200-0000EC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37" name="Rectangle 8">
          <a:extLst>
            <a:ext uri="{FF2B5EF4-FFF2-40B4-BE49-F238E27FC236}">
              <a16:creationId xmlns:a16="http://schemas.microsoft.com/office/drawing/2014/main" id="{00000000-0008-0000-0200-0000ED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38" name="Rectangle 9">
          <a:extLst>
            <a:ext uri="{FF2B5EF4-FFF2-40B4-BE49-F238E27FC236}">
              <a16:creationId xmlns:a16="http://schemas.microsoft.com/office/drawing/2014/main" id="{00000000-0008-0000-0200-0000EE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39" name="Rectangle 10">
          <a:extLst>
            <a:ext uri="{FF2B5EF4-FFF2-40B4-BE49-F238E27FC236}">
              <a16:creationId xmlns:a16="http://schemas.microsoft.com/office/drawing/2014/main" id="{00000000-0008-0000-0200-0000EF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0" name="Rectangle 11">
          <a:extLst>
            <a:ext uri="{FF2B5EF4-FFF2-40B4-BE49-F238E27FC236}">
              <a16:creationId xmlns:a16="http://schemas.microsoft.com/office/drawing/2014/main" id="{00000000-0008-0000-0200-0000F0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1" name="Rectangle 12">
          <a:extLst>
            <a:ext uri="{FF2B5EF4-FFF2-40B4-BE49-F238E27FC236}">
              <a16:creationId xmlns:a16="http://schemas.microsoft.com/office/drawing/2014/main" id="{00000000-0008-0000-0200-0000F1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2" name="Rectangle 13">
          <a:extLst>
            <a:ext uri="{FF2B5EF4-FFF2-40B4-BE49-F238E27FC236}">
              <a16:creationId xmlns:a16="http://schemas.microsoft.com/office/drawing/2014/main" id="{00000000-0008-0000-0200-0000F2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3" name="Rectangle 14">
          <a:extLst>
            <a:ext uri="{FF2B5EF4-FFF2-40B4-BE49-F238E27FC236}">
              <a16:creationId xmlns:a16="http://schemas.microsoft.com/office/drawing/2014/main" id="{00000000-0008-0000-0200-0000F3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4" name="Rectangle 15">
          <a:extLst>
            <a:ext uri="{FF2B5EF4-FFF2-40B4-BE49-F238E27FC236}">
              <a16:creationId xmlns:a16="http://schemas.microsoft.com/office/drawing/2014/main" id="{00000000-0008-0000-0200-0000F4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5" name="Rectangle 16">
          <a:extLst>
            <a:ext uri="{FF2B5EF4-FFF2-40B4-BE49-F238E27FC236}">
              <a16:creationId xmlns:a16="http://schemas.microsoft.com/office/drawing/2014/main" id="{00000000-0008-0000-0200-0000F5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6" name="Rectangle 17">
          <a:extLst>
            <a:ext uri="{FF2B5EF4-FFF2-40B4-BE49-F238E27FC236}">
              <a16:creationId xmlns:a16="http://schemas.microsoft.com/office/drawing/2014/main" id="{00000000-0008-0000-0200-0000F6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7" name="Rectangle 18">
          <a:extLst>
            <a:ext uri="{FF2B5EF4-FFF2-40B4-BE49-F238E27FC236}">
              <a16:creationId xmlns:a16="http://schemas.microsoft.com/office/drawing/2014/main" id="{00000000-0008-0000-0200-0000F7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8" name="Rectangle 19">
          <a:extLst>
            <a:ext uri="{FF2B5EF4-FFF2-40B4-BE49-F238E27FC236}">
              <a16:creationId xmlns:a16="http://schemas.microsoft.com/office/drawing/2014/main" id="{00000000-0008-0000-0200-0000F8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49" name="Rectangle 20">
          <a:extLst>
            <a:ext uri="{FF2B5EF4-FFF2-40B4-BE49-F238E27FC236}">
              <a16:creationId xmlns:a16="http://schemas.microsoft.com/office/drawing/2014/main" id="{00000000-0008-0000-0200-0000F9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0" name="Rectangle 21">
          <a:extLst>
            <a:ext uri="{FF2B5EF4-FFF2-40B4-BE49-F238E27FC236}">
              <a16:creationId xmlns:a16="http://schemas.microsoft.com/office/drawing/2014/main" id="{00000000-0008-0000-0200-0000FA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1" name="Rectangle 22">
          <a:extLst>
            <a:ext uri="{FF2B5EF4-FFF2-40B4-BE49-F238E27FC236}">
              <a16:creationId xmlns:a16="http://schemas.microsoft.com/office/drawing/2014/main" id="{00000000-0008-0000-0200-0000FB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2" name="Rectangle 23">
          <a:extLst>
            <a:ext uri="{FF2B5EF4-FFF2-40B4-BE49-F238E27FC236}">
              <a16:creationId xmlns:a16="http://schemas.microsoft.com/office/drawing/2014/main" id="{00000000-0008-0000-0200-0000FC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3" name="Rectangle 24">
          <a:extLst>
            <a:ext uri="{FF2B5EF4-FFF2-40B4-BE49-F238E27FC236}">
              <a16:creationId xmlns:a16="http://schemas.microsoft.com/office/drawing/2014/main" id="{00000000-0008-0000-0200-0000FD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4" name="Rectangle 26">
          <a:extLst>
            <a:ext uri="{FF2B5EF4-FFF2-40B4-BE49-F238E27FC236}">
              <a16:creationId xmlns:a16="http://schemas.microsoft.com/office/drawing/2014/main" id="{00000000-0008-0000-0200-0000FE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5" name="Rectangle 27">
          <a:extLst>
            <a:ext uri="{FF2B5EF4-FFF2-40B4-BE49-F238E27FC236}">
              <a16:creationId xmlns:a16="http://schemas.microsoft.com/office/drawing/2014/main" id="{00000000-0008-0000-0200-0000FF71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6" name="Rectangle 28">
          <a:extLst>
            <a:ext uri="{FF2B5EF4-FFF2-40B4-BE49-F238E27FC236}">
              <a16:creationId xmlns:a16="http://schemas.microsoft.com/office/drawing/2014/main" id="{00000000-0008-0000-0200-00000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7" name="Rectangle 29">
          <a:extLst>
            <a:ext uri="{FF2B5EF4-FFF2-40B4-BE49-F238E27FC236}">
              <a16:creationId xmlns:a16="http://schemas.microsoft.com/office/drawing/2014/main" id="{00000000-0008-0000-0200-00000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8" name="Rectangle 30">
          <a:extLst>
            <a:ext uri="{FF2B5EF4-FFF2-40B4-BE49-F238E27FC236}">
              <a16:creationId xmlns:a16="http://schemas.microsoft.com/office/drawing/2014/main" id="{00000000-0008-0000-0200-00000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59" name="Rectangle 31">
          <a:extLst>
            <a:ext uri="{FF2B5EF4-FFF2-40B4-BE49-F238E27FC236}">
              <a16:creationId xmlns:a16="http://schemas.microsoft.com/office/drawing/2014/main" id="{00000000-0008-0000-0200-00000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0" name="Rectangle 32">
          <a:extLst>
            <a:ext uri="{FF2B5EF4-FFF2-40B4-BE49-F238E27FC236}">
              <a16:creationId xmlns:a16="http://schemas.microsoft.com/office/drawing/2014/main" id="{00000000-0008-0000-0200-00000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1" name="Rectangle 33">
          <a:extLst>
            <a:ext uri="{FF2B5EF4-FFF2-40B4-BE49-F238E27FC236}">
              <a16:creationId xmlns:a16="http://schemas.microsoft.com/office/drawing/2014/main" id="{00000000-0008-0000-0200-00000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2" name="Rectangle 34">
          <a:extLst>
            <a:ext uri="{FF2B5EF4-FFF2-40B4-BE49-F238E27FC236}">
              <a16:creationId xmlns:a16="http://schemas.microsoft.com/office/drawing/2014/main" id="{00000000-0008-0000-0200-00000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3" name="Rectangle 35">
          <a:extLst>
            <a:ext uri="{FF2B5EF4-FFF2-40B4-BE49-F238E27FC236}">
              <a16:creationId xmlns:a16="http://schemas.microsoft.com/office/drawing/2014/main" id="{00000000-0008-0000-0200-00000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4" name="Rectangle 36">
          <a:extLst>
            <a:ext uri="{FF2B5EF4-FFF2-40B4-BE49-F238E27FC236}">
              <a16:creationId xmlns:a16="http://schemas.microsoft.com/office/drawing/2014/main" id="{00000000-0008-0000-0200-00000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5" name="Rectangle 37">
          <a:extLst>
            <a:ext uri="{FF2B5EF4-FFF2-40B4-BE49-F238E27FC236}">
              <a16:creationId xmlns:a16="http://schemas.microsoft.com/office/drawing/2014/main" id="{00000000-0008-0000-0200-00000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6" name="Rectangle 38">
          <a:extLst>
            <a:ext uri="{FF2B5EF4-FFF2-40B4-BE49-F238E27FC236}">
              <a16:creationId xmlns:a16="http://schemas.microsoft.com/office/drawing/2014/main" id="{00000000-0008-0000-0200-00000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7" name="Rectangle 39">
          <a:extLst>
            <a:ext uri="{FF2B5EF4-FFF2-40B4-BE49-F238E27FC236}">
              <a16:creationId xmlns:a16="http://schemas.microsoft.com/office/drawing/2014/main" id="{00000000-0008-0000-0200-00000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8" name="Rectangle 40">
          <a:extLst>
            <a:ext uri="{FF2B5EF4-FFF2-40B4-BE49-F238E27FC236}">
              <a16:creationId xmlns:a16="http://schemas.microsoft.com/office/drawing/2014/main" id="{00000000-0008-0000-0200-00000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69" name="Rectangle 41">
          <a:extLst>
            <a:ext uri="{FF2B5EF4-FFF2-40B4-BE49-F238E27FC236}">
              <a16:creationId xmlns:a16="http://schemas.microsoft.com/office/drawing/2014/main" id="{00000000-0008-0000-0200-00000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0" name="Rectangle 42">
          <a:extLst>
            <a:ext uri="{FF2B5EF4-FFF2-40B4-BE49-F238E27FC236}">
              <a16:creationId xmlns:a16="http://schemas.microsoft.com/office/drawing/2014/main" id="{00000000-0008-0000-0200-00000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1" name="Rectangle 43">
          <a:extLst>
            <a:ext uri="{FF2B5EF4-FFF2-40B4-BE49-F238E27FC236}">
              <a16:creationId xmlns:a16="http://schemas.microsoft.com/office/drawing/2014/main" id="{00000000-0008-0000-0200-00000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2" name="Rectangle 44">
          <a:extLst>
            <a:ext uri="{FF2B5EF4-FFF2-40B4-BE49-F238E27FC236}">
              <a16:creationId xmlns:a16="http://schemas.microsoft.com/office/drawing/2014/main" id="{00000000-0008-0000-0200-00001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3" name="Rectangle 45">
          <a:extLst>
            <a:ext uri="{FF2B5EF4-FFF2-40B4-BE49-F238E27FC236}">
              <a16:creationId xmlns:a16="http://schemas.microsoft.com/office/drawing/2014/main" id="{00000000-0008-0000-0200-00001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4" name="Rectangle 46">
          <a:extLst>
            <a:ext uri="{FF2B5EF4-FFF2-40B4-BE49-F238E27FC236}">
              <a16:creationId xmlns:a16="http://schemas.microsoft.com/office/drawing/2014/main" id="{00000000-0008-0000-0200-00001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5" name="Rectangle 47">
          <a:extLst>
            <a:ext uri="{FF2B5EF4-FFF2-40B4-BE49-F238E27FC236}">
              <a16:creationId xmlns:a16="http://schemas.microsoft.com/office/drawing/2014/main" id="{00000000-0008-0000-0200-00001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6" name="Rectangle 48">
          <a:extLst>
            <a:ext uri="{FF2B5EF4-FFF2-40B4-BE49-F238E27FC236}">
              <a16:creationId xmlns:a16="http://schemas.microsoft.com/office/drawing/2014/main" id="{00000000-0008-0000-0200-00001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7" name="Rectangle 49">
          <a:extLst>
            <a:ext uri="{FF2B5EF4-FFF2-40B4-BE49-F238E27FC236}">
              <a16:creationId xmlns:a16="http://schemas.microsoft.com/office/drawing/2014/main" id="{00000000-0008-0000-0200-00001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78" name="Rectangle 50">
          <a:extLst>
            <a:ext uri="{FF2B5EF4-FFF2-40B4-BE49-F238E27FC236}">
              <a16:creationId xmlns:a16="http://schemas.microsoft.com/office/drawing/2014/main" id="{00000000-0008-0000-0200-00001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220" name="Texto 190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SpPr txBox="1">
          <a:spLocks noChangeArrowheads="1"/>
        </xdr:cNvSpPr>
      </xdr:nvSpPr>
      <xdr:spPr bwMode="auto">
        <a:xfrm>
          <a:off x="28575" y="5562600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221" name="Texto 192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SpPr txBox="1">
          <a:spLocks noChangeArrowheads="1"/>
        </xdr:cNvSpPr>
      </xdr:nvSpPr>
      <xdr:spPr bwMode="auto">
        <a:xfrm>
          <a:off x="28575" y="7667625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1" name="Rectangle 53">
          <a:extLst>
            <a:ext uri="{FF2B5EF4-FFF2-40B4-BE49-F238E27FC236}">
              <a16:creationId xmlns:a16="http://schemas.microsoft.com/office/drawing/2014/main" id="{00000000-0008-0000-0200-00001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2" name="Rectangle 54">
          <a:extLst>
            <a:ext uri="{FF2B5EF4-FFF2-40B4-BE49-F238E27FC236}">
              <a16:creationId xmlns:a16="http://schemas.microsoft.com/office/drawing/2014/main" id="{00000000-0008-0000-0200-00001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3" name="Rectangle 55">
          <a:extLst>
            <a:ext uri="{FF2B5EF4-FFF2-40B4-BE49-F238E27FC236}">
              <a16:creationId xmlns:a16="http://schemas.microsoft.com/office/drawing/2014/main" id="{00000000-0008-0000-0200-00001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4" name="Rectangle 56">
          <a:extLst>
            <a:ext uri="{FF2B5EF4-FFF2-40B4-BE49-F238E27FC236}">
              <a16:creationId xmlns:a16="http://schemas.microsoft.com/office/drawing/2014/main" id="{00000000-0008-0000-0200-00001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5" name="Rectangle 57">
          <a:extLst>
            <a:ext uri="{FF2B5EF4-FFF2-40B4-BE49-F238E27FC236}">
              <a16:creationId xmlns:a16="http://schemas.microsoft.com/office/drawing/2014/main" id="{00000000-0008-0000-0200-00001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6" name="Rectangle 58">
          <a:extLst>
            <a:ext uri="{FF2B5EF4-FFF2-40B4-BE49-F238E27FC236}">
              <a16:creationId xmlns:a16="http://schemas.microsoft.com/office/drawing/2014/main" id="{00000000-0008-0000-0200-00001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7" name="Rectangle 59">
          <a:extLst>
            <a:ext uri="{FF2B5EF4-FFF2-40B4-BE49-F238E27FC236}">
              <a16:creationId xmlns:a16="http://schemas.microsoft.com/office/drawing/2014/main" id="{00000000-0008-0000-0200-00001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8" name="Rectangle 60">
          <a:extLst>
            <a:ext uri="{FF2B5EF4-FFF2-40B4-BE49-F238E27FC236}">
              <a16:creationId xmlns:a16="http://schemas.microsoft.com/office/drawing/2014/main" id="{00000000-0008-0000-0200-00002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89" name="Rectangle 61">
          <a:extLst>
            <a:ext uri="{FF2B5EF4-FFF2-40B4-BE49-F238E27FC236}">
              <a16:creationId xmlns:a16="http://schemas.microsoft.com/office/drawing/2014/main" id="{00000000-0008-0000-0200-00002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0" name="Rectangle 62">
          <a:extLst>
            <a:ext uri="{FF2B5EF4-FFF2-40B4-BE49-F238E27FC236}">
              <a16:creationId xmlns:a16="http://schemas.microsoft.com/office/drawing/2014/main" id="{00000000-0008-0000-0200-00002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1" name="Rectangle 63">
          <a:extLst>
            <a:ext uri="{FF2B5EF4-FFF2-40B4-BE49-F238E27FC236}">
              <a16:creationId xmlns:a16="http://schemas.microsoft.com/office/drawing/2014/main" id="{00000000-0008-0000-0200-00002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2" name="Rectangle 64">
          <a:extLst>
            <a:ext uri="{FF2B5EF4-FFF2-40B4-BE49-F238E27FC236}">
              <a16:creationId xmlns:a16="http://schemas.microsoft.com/office/drawing/2014/main" id="{00000000-0008-0000-0200-00002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3" name="Rectangle 65">
          <a:extLst>
            <a:ext uri="{FF2B5EF4-FFF2-40B4-BE49-F238E27FC236}">
              <a16:creationId xmlns:a16="http://schemas.microsoft.com/office/drawing/2014/main" id="{00000000-0008-0000-0200-00002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4" name="Rectangle 66">
          <a:extLst>
            <a:ext uri="{FF2B5EF4-FFF2-40B4-BE49-F238E27FC236}">
              <a16:creationId xmlns:a16="http://schemas.microsoft.com/office/drawing/2014/main" id="{00000000-0008-0000-0200-00002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5" name="Rectangle 67">
          <a:extLst>
            <a:ext uri="{FF2B5EF4-FFF2-40B4-BE49-F238E27FC236}">
              <a16:creationId xmlns:a16="http://schemas.microsoft.com/office/drawing/2014/main" id="{00000000-0008-0000-0200-00002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6" name="Rectangle 68">
          <a:extLst>
            <a:ext uri="{FF2B5EF4-FFF2-40B4-BE49-F238E27FC236}">
              <a16:creationId xmlns:a16="http://schemas.microsoft.com/office/drawing/2014/main" id="{00000000-0008-0000-0200-00002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7" name="Rectangle 69">
          <a:extLst>
            <a:ext uri="{FF2B5EF4-FFF2-40B4-BE49-F238E27FC236}">
              <a16:creationId xmlns:a16="http://schemas.microsoft.com/office/drawing/2014/main" id="{00000000-0008-0000-0200-00002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8" name="Rectangle 70">
          <a:extLst>
            <a:ext uri="{FF2B5EF4-FFF2-40B4-BE49-F238E27FC236}">
              <a16:creationId xmlns:a16="http://schemas.microsoft.com/office/drawing/2014/main" id="{00000000-0008-0000-0200-00002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299" name="Rectangle 71">
          <a:extLst>
            <a:ext uri="{FF2B5EF4-FFF2-40B4-BE49-F238E27FC236}">
              <a16:creationId xmlns:a16="http://schemas.microsoft.com/office/drawing/2014/main" id="{00000000-0008-0000-0200-00002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0" name="Rectangle 72">
          <a:extLst>
            <a:ext uri="{FF2B5EF4-FFF2-40B4-BE49-F238E27FC236}">
              <a16:creationId xmlns:a16="http://schemas.microsoft.com/office/drawing/2014/main" id="{00000000-0008-0000-0200-00002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1" name="Rectangle 73">
          <a:extLst>
            <a:ext uri="{FF2B5EF4-FFF2-40B4-BE49-F238E27FC236}">
              <a16:creationId xmlns:a16="http://schemas.microsoft.com/office/drawing/2014/main" id="{00000000-0008-0000-0200-00002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2" name="Rectangle 74">
          <a:extLst>
            <a:ext uri="{FF2B5EF4-FFF2-40B4-BE49-F238E27FC236}">
              <a16:creationId xmlns:a16="http://schemas.microsoft.com/office/drawing/2014/main" id="{00000000-0008-0000-0200-00002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3" name="Rectangle 75">
          <a:extLst>
            <a:ext uri="{FF2B5EF4-FFF2-40B4-BE49-F238E27FC236}">
              <a16:creationId xmlns:a16="http://schemas.microsoft.com/office/drawing/2014/main" id="{00000000-0008-0000-0200-00002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4" name="Rectangle 76">
          <a:extLst>
            <a:ext uri="{FF2B5EF4-FFF2-40B4-BE49-F238E27FC236}">
              <a16:creationId xmlns:a16="http://schemas.microsoft.com/office/drawing/2014/main" id="{00000000-0008-0000-0200-00003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5" name="Rectangle 77">
          <a:extLst>
            <a:ext uri="{FF2B5EF4-FFF2-40B4-BE49-F238E27FC236}">
              <a16:creationId xmlns:a16="http://schemas.microsoft.com/office/drawing/2014/main" id="{00000000-0008-0000-0200-00003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6" name="Rectangle 78">
          <a:extLst>
            <a:ext uri="{FF2B5EF4-FFF2-40B4-BE49-F238E27FC236}">
              <a16:creationId xmlns:a16="http://schemas.microsoft.com/office/drawing/2014/main" id="{00000000-0008-0000-0200-00003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7" name="Rectangle 79">
          <a:extLst>
            <a:ext uri="{FF2B5EF4-FFF2-40B4-BE49-F238E27FC236}">
              <a16:creationId xmlns:a16="http://schemas.microsoft.com/office/drawing/2014/main" id="{00000000-0008-0000-0200-00003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8" name="Rectangle 80">
          <a:extLst>
            <a:ext uri="{FF2B5EF4-FFF2-40B4-BE49-F238E27FC236}">
              <a16:creationId xmlns:a16="http://schemas.microsoft.com/office/drawing/2014/main" id="{00000000-0008-0000-0200-00003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09" name="Rectangle 81">
          <a:extLst>
            <a:ext uri="{FF2B5EF4-FFF2-40B4-BE49-F238E27FC236}">
              <a16:creationId xmlns:a16="http://schemas.microsoft.com/office/drawing/2014/main" id="{00000000-0008-0000-0200-00003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10" name="Rectangle 82">
          <a:extLst>
            <a:ext uri="{FF2B5EF4-FFF2-40B4-BE49-F238E27FC236}">
              <a16:creationId xmlns:a16="http://schemas.microsoft.com/office/drawing/2014/main" id="{00000000-0008-0000-0200-00003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11" name="Rectangle 83">
          <a:extLst>
            <a:ext uri="{FF2B5EF4-FFF2-40B4-BE49-F238E27FC236}">
              <a16:creationId xmlns:a16="http://schemas.microsoft.com/office/drawing/2014/main" id="{00000000-0008-0000-0200-00003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12" name="Rectangle 84">
          <a:extLst>
            <a:ext uri="{FF2B5EF4-FFF2-40B4-BE49-F238E27FC236}">
              <a16:creationId xmlns:a16="http://schemas.microsoft.com/office/drawing/2014/main" id="{00000000-0008-0000-0200-00003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255" name="Texto 10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>
          <a:spLocks noChangeArrowheads="1"/>
        </xdr:cNvSpPr>
      </xdr:nvSpPr>
      <xdr:spPr bwMode="auto">
        <a:xfrm>
          <a:off x="38100" y="1847850"/>
          <a:ext cx="228600" cy="5524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GERAL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256" name="Texto 23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SpPr txBox="1">
          <a:spLocks noChangeArrowheads="1"/>
        </xdr:cNvSpPr>
      </xdr:nvSpPr>
      <xdr:spPr bwMode="auto">
        <a:xfrm>
          <a:off x="57150" y="3448050"/>
          <a:ext cx="219075" cy="10382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ACESSÓRIOS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15" name="Rectangle 3">
          <a:extLst>
            <a:ext uri="{FF2B5EF4-FFF2-40B4-BE49-F238E27FC236}">
              <a16:creationId xmlns:a16="http://schemas.microsoft.com/office/drawing/2014/main" id="{00000000-0008-0000-0200-00003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16" name="Rectangle 4">
          <a:extLst>
            <a:ext uri="{FF2B5EF4-FFF2-40B4-BE49-F238E27FC236}">
              <a16:creationId xmlns:a16="http://schemas.microsoft.com/office/drawing/2014/main" id="{00000000-0008-0000-0200-00003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17" name="Rectangle 5">
          <a:extLst>
            <a:ext uri="{FF2B5EF4-FFF2-40B4-BE49-F238E27FC236}">
              <a16:creationId xmlns:a16="http://schemas.microsoft.com/office/drawing/2014/main" id="{00000000-0008-0000-0200-00003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18" name="Rectangle 6">
          <a:extLst>
            <a:ext uri="{FF2B5EF4-FFF2-40B4-BE49-F238E27FC236}">
              <a16:creationId xmlns:a16="http://schemas.microsoft.com/office/drawing/2014/main" id="{00000000-0008-0000-0200-00003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19" name="Rectangle 7">
          <a:extLst>
            <a:ext uri="{FF2B5EF4-FFF2-40B4-BE49-F238E27FC236}">
              <a16:creationId xmlns:a16="http://schemas.microsoft.com/office/drawing/2014/main" id="{00000000-0008-0000-0200-00003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0" name="Rectangle 8">
          <a:extLst>
            <a:ext uri="{FF2B5EF4-FFF2-40B4-BE49-F238E27FC236}">
              <a16:creationId xmlns:a16="http://schemas.microsoft.com/office/drawing/2014/main" id="{00000000-0008-0000-0200-00004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1" name="Rectangle 9">
          <a:extLst>
            <a:ext uri="{FF2B5EF4-FFF2-40B4-BE49-F238E27FC236}">
              <a16:creationId xmlns:a16="http://schemas.microsoft.com/office/drawing/2014/main" id="{00000000-0008-0000-0200-00004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2" name="Rectangle 10">
          <a:extLst>
            <a:ext uri="{FF2B5EF4-FFF2-40B4-BE49-F238E27FC236}">
              <a16:creationId xmlns:a16="http://schemas.microsoft.com/office/drawing/2014/main" id="{00000000-0008-0000-0200-00004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3" name="Rectangle 11">
          <a:extLst>
            <a:ext uri="{FF2B5EF4-FFF2-40B4-BE49-F238E27FC236}">
              <a16:creationId xmlns:a16="http://schemas.microsoft.com/office/drawing/2014/main" id="{00000000-0008-0000-0200-00004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4" name="Rectangle 12">
          <a:extLst>
            <a:ext uri="{FF2B5EF4-FFF2-40B4-BE49-F238E27FC236}">
              <a16:creationId xmlns:a16="http://schemas.microsoft.com/office/drawing/2014/main" id="{00000000-0008-0000-0200-00004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5" name="Rectangle 13">
          <a:extLst>
            <a:ext uri="{FF2B5EF4-FFF2-40B4-BE49-F238E27FC236}">
              <a16:creationId xmlns:a16="http://schemas.microsoft.com/office/drawing/2014/main" id="{00000000-0008-0000-0200-00004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6" name="Rectangle 14">
          <a:extLst>
            <a:ext uri="{FF2B5EF4-FFF2-40B4-BE49-F238E27FC236}">
              <a16:creationId xmlns:a16="http://schemas.microsoft.com/office/drawing/2014/main" id="{00000000-0008-0000-0200-00004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7" name="Rectangle 15">
          <a:extLst>
            <a:ext uri="{FF2B5EF4-FFF2-40B4-BE49-F238E27FC236}">
              <a16:creationId xmlns:a16="http://schemas.microsoft.com/office/drawing/2014/main" id="{00000000-0008-0000-0200-00004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8" name="Rectangle 16">
          <a:extLst>
            <a:ext uri="{FF2B5EF4-FFF2-40B4-BE49-F238E27FC236}">
              <a16:creationId xmlns:a16="http://schemas.microsoft.com/office/drawing/2014/main" id="{00000000-0008-0000-0200-00004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29" name="Rectangle 17">
          <a:extLst>
            <a:ext uri="{FF2B5EF4-FFF2-40B4-BE49-F238E27FC236}">
              <a16:creationId xmlns:a16="http://schemas.microsoft.com/office/drawing/2014/main" id="{00000000-0008-0000-0200-00004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0" name="Rectangle 18">
          <a:extLst>
            <a:ext uri="{FF2B5EF4-FFF2-40B4-BE49-F238E27FC236}">
              <a16:creationId xmlns:a16="http://schemas.microsoft.com/office/drawing/2014/main" id="{00000000-0008-0000-0200-00004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1" name="Rectangle 19">
          <a:extLst>
            <a:ext uri="{FF2B5EF4-FFF2-40B4-BE49-F238E27FC236}">
              <a16:creationId xmlns:a16="http://schemas.microsoft.com/office/drawing/2014/main" id="{00000000-0008-0000-0200-00004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2" name="Rectangle 20">
          <a:extLst>
            <a:ext uri="{FF2B5EF4-FFF2-40B4-BE49-F238E27FC236}">
              <a16:creationId xmlns:a16="http://schemas.microsoft.com/office/drawing/2014/main" id="{00000000-0008-0000-0200-00004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3" name="Rectangle 21">
          <a:extLst>
            <a:ext uri="{FF2B5EF4-FFF2-40B4-BE49-F238E27FC236}">
              <a16:creationId xmlns:a16="http://schemas.microsoft.com/office/drawing/2014/main" id="{00000000-0008-0000-0200-00004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4" name="Rectangle 22">
          <a:extLst>
            <a:ext uri="{FF2B5EF4-FFF2-40B4-BE49-F238E27FC236}">
              <a16:creationId xmlns:a16="http://schemas.microsoft.com/office/drawing/2014/main" id="{00000000-0008-0000-0200-00004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5" name="Rectangle 23">
          <a:extLst>
            <a:ext uri="{FF2B5EF4-FFF2-40B4-BE49-F238E27FC236}">
              <a16:creationId xmlns:a16="http://schemas.microsoft.com/office/drawing/2014/main" id="{00000000-0008-0000-0200-00004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6" name="Rectangle 24">
          <a:extLst>
            <a:ext uri="{FF2B5EF4-FFF2-40B4-BE49-F238E27FC236}">
              <a16:creationId xmlns:a16="http://schemas.microsoft.com/office/drawing/2014/main" id="{00000000-0008-0000-0200-00005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7" name="Rectangle 26">
          <a:extLst>
            <a:ext uri="{FF2B5EF4-FFF2-40B4-BE49-F238E27FC236}">
              <a16:creationId xmlns:a16="http://schemas.microsoft.com/office/drawing/2014/main" id="{00000000-0008-0000-0200-00005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8" name="Rectangle 27">
          <a:extLst>
            <a:ext uri="{FF2B5EF4-FFF2-40B4-BE49-F238E27FC236}">
              <a16:creationId xmlns:a16="http://schemas.microsoft.com/office/drawing/2014/main" id="{00000000-0008-0000-0200-00005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39" name="Rectangle 28">
          <a:extLst>
            <a:ext uri="{FF2B5EF4-FFF2-40B4-BE49-F238E27FC236}">
              <a16:creationId xmlns:a16="http://schemas.microsoft.com/office/drawing/2014/main" id="{00000000-0008-0000-0200-00005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0" name="Rectangle 29">
          <a:extLst>
            <a:ext uri="{FF2B5EF4-FFF2-40B4-BE49-F238E27FC236}">
              <a16:creationId xmlns:a16="http://schemas.microsoft.com/office/drawing/2014/main" id="{00000000-0008-0000-0200-00005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1" name="Rectangle 30">
          <a:extLst>
            <a:ext uri="{FF2B5EF4-FFF2-40B4-BE49-F238E27FC236}">
              <a16:creationId xmlns:a16="http://schemas.microsoft.com/office/drawing/2014/main" id="{00000000-0008-0000-0200-00005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2" name="Rectangle 31">
          <a:extLst>
            <a:ext uri="{FF2B5EF4-FFF2-40B4-BE49-F238E27FC236}">
              <a16:creationId xmlns:a16="http://schemas.microsoft.com/office/drawing/2014/main" id="{00000000-0008-0000-0200-00005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3" name="Rectangle 32">
          <a:extLst>
            <a:ext uri="{FF2B5EF4-FFF2-40B4-BE49-F238E27FC236}">
              <a16:creationId xmlns:a16="http://schemas.microsoft.com/office/drawing/2014/main" id="{00000000-0008-0000-0200-00005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4" name="Rectangle 33">
          <a:extLst>
            <a:ext uri="{FF2B5EF4-FFF2-40B4-BE49-F238E27FC236}">
              <a16:creationId xmlns:a16="http://schemas.microsoft.com/office/drawing/2014/main" id="{00000000-0008-0000-0200-00005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5" name="Rectangle 34">
          <a:extLst>
            <a:ext uri="{FF2B5EF4-FFF2-40B4-BE49-F238E27FC236}">
              <a16:creationId xmlns:a16="http://schemas.microsoft.com/office/drawing/2014/main" id="{00000000-0008-0000-0200-00005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6" name="Rectangle 35">
          <a:extLst>
            <a:ext uri="{FF2B5EF4-FFF2-40B4-BE49-F238E27FC236}">
              <a16:creationId xmlns:a16="http://schemas.microsoft.com/office/drawing/2014/main" id="{00000000-0008-0000-0200-00005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7" name="Rectangle 36">
          <a:extLst>
            <a:ext uri="{FF2B5EF4-FFF2-40B4-BE49-F238E27FC236}">
              <a16:creationId xmlns:a16="http://schemas.microsoft.com/office/drawing/2014/main" id="{00000000-0008-0000-0200-00005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8" name="Rectangle 37">
          <a:extLst>
            <a:ext uri="{FF2B5EF4-FFF2-40B4-BE49-F238E27FC236}">
              <a16:creationId xmlns:a16="http://schemas.microsoft.com/office/drawing/2014/main" id="{00000000-0008-0000-0200-00005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49" name="Rectangle 38">
          <a:extLst>
            <a:ext uri="{FF2B5EF4-FFF2-40B4-BE49-F238E27FC236}">
              <a16:creationId xmlns:a16="http://schemas.microsoft.com/office/drawing/2014/main" id="{00000000-0008-0000-0200-00005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0" name="Rectangle 39">
          <a:extLst>
            <a:ext uri="{FF2B5EF4-FFF2-40B4-BE49-F238E27FC236}">
              <a16:creationId xmlns:a16="http://schemas.microsoft.com/office/drawing/2014/main" id="{00000000-0008-0000-0200-00005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1" name="Rectangle 40">
          <a:extLst>
            <a:ext uri="{FF2B5EF4-FFF2-40B4-BE49-F238E27FC236}">
              <a16:creationId xmlns:a16="http://schemas.microsoft.com/office/drawing/2014/main" id="{00000000-0008-0000-0200-00005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2" name="Rectangle 41">
          <a:extLst>
            <a:ext uri="{FF2B5EF4-FFF2-40B4-BE49-F238E27FC236}">
              <a16:creationId xmlns:a16="http://schemas.microsoft.com/office/drawing/2014/main" id="{00000000-0008-0000-0200-00006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3" name="Rectangle 42">
          <a:extLst>
            <a:ext uri="{FF2B5EF4-FFF2-40B4-BE49-F238E27FC236}">
              <a16:creationId xmlns:a16="http://schemas.microsoft.com/office/drawing/2014/main" id="{00000000-0008-0000-0200-00006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4" name="Rectangle 43">
          <a:extLst>
            <a:ext uri="{FF2B5EF4-FFF2-40B4-BE49-F238E27FC236}">
              <a16:creationId xmlns:a16="http://schemas.microsoft.com/office/drawing/2014/main" id="{00000000-0008-0000-0200-00006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5" name="Rectangle 44">
          <a:extLst>
            <a:ext uri="{FF2B5EF4-FFF2-40B4-BE49-F238E27FC236}">
              <a16:creationId xmlns:a16="http://schemas.microsoft.com/office/drawing/2014/main" id="{00000000-0008-0000-0200-00006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6" name="Rectangle 45">
          <a:extLst>
            <a:ext uri="{FF2B5EF4-FFF2-40B4-BE49-F238E27FC236}">
              <a16:creationId xmlns:a16="http://schemas.microsoft.com/office/drawing/2014/main" id="{00000000-0008-0000-0200-00006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7" name="Rectangle 46">
          <a:extLst>
            <a:ext uri="{FF2B5EF4-FFF2-40B4-BE49-F238E27FC236}">
              <a16:creationId xmlns:a16="http://schemas.microsoft.com/office/drawing/2014/main" id="{00000000-0008-0000-0200-00006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8" name="Rectangle 47">
          <a:extLst>
            <a:ext uri="{FF2B5EF4-FFF2-40B4-BE49-F238E27FC236}">
              <a16:creationId xmlns:a16="http://schemas.microsoft.com/office/drawing/2014/main" id="{00000000-0008-0000-0200-00006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59" name="Rectangle 48">
          <a:extLst>
            <a:ext uri="{FF2B5EF4-FFF2-40B4-BE49-F238E27FC236}">
              <a16:creationId xmlns:a16="http://schemas.microsoft.com/office/drawing/2014/main" id="{00000000-0008-0000-0200-00006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60" name="Rectangle 49">
          <a:extLst>
            <a:ext uri="{FF2B5EF4-FFF2-40B4-BE49-F238E27FC236}">
              <a16:creationId xmlns:a16="http://schemas.microsoft.com/office/drawing/2014/main" id="{00000000-0008-0000-0200-00006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61" name="Rectangle 50">
          <a:extLst>
            <a:ext uri="{FF2B5EF4-FFF2-40B4-BE49-F238E27FC236}">
              <a16:creationId xmlns:a16="http://schemas.microsoft.com/office/drawing/2014/main" id="{00000000-0008-0000-0200-00006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304" name="Texto 190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>
          <a:spLocks noChangeArrowheads="1"/>
        </xdr:cNvSpPr>
      </xdr:nvSpPr>
      <xdr:spPr bwMode="auto">
        <a:xfrm>
          <a:off x="28575" y="5562600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305" name="Texto 192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>
          <a:spLocks noChangeArrowheads="1"/>
        </xdr:cNvSpPr>
      </xdr:nvSpPr>
      <xdr:spPr bwMode="auto">
        <a:xfrm>
          <a:off x="28575" y="7667625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64" name="Rectangle 53">
          <a:extLst>
            <a:ext uri="{FF2B5EF4-FFF2-40B4-BE49-F238E27FC236}">
              <a16:creationId xmlns:a16="http://schemas.microsoft.com/office/drawing/2014/main" id="{00000000-0008-0000-0200-00006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65" name="Rectangle 54">
          <a:extLst>
            <a:ext uri="{FF2B5EF4-FFF2-40B4-BE49-F238E27FC236}">
              <a16:creationId xmlns:a16="http://schemas.microsoft.com/office/drawing/2014/main" id="{00000000-0008-0000-0200-00006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66" name="Rectangle 55">
          <a:extLst>
            <a:ext uri="{FF2B5EF4-FFF2-40B4-BE49-F238E27FC236}">
              <a16:creationId xmlns:a16="http://schemas.microsoft.com/office/drawing/2014/main" id="{00000000-0008-0000-0200-00006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67" name="Rectangle 56">
          <a:extLst>
            <a:ext uri="{FF2B5EF4-FFF2-40B4-BE49-F238E27FC236}">
              <a16:creationId xmlns:a16="http://schemas.microsoft.com/office/drawing/2014/main" id="{00000000-0008-0000-0200-00006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68" name="Rectangle 57">
          <a:extLst>
            <a:ext uri="{FF2B5EF4-FFF2-40B4-BE49-F238E27FC236}">
              <a16:creationId xmlns:a16="http://schemas.microsoft.com/office/drawing/2014/main" id="{00000000-0008-0000-0200-00007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69" name="Rectangle 58">
          <a:extLst>
            <a:ext uri="{FF2B5EF4-FFF2-40B4-BE49-F238E27FC236}">
              <a16:creationId xmlns:a16="http://schemas.microsoft.com/office/drawing/2014/main" id="{00000000-0008-0000-0200-00007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0" name="Rectangle 59">
          <a:extLst>
            <a:ext uri="{FF2B5EF4-FFF2-40B4-BE49-F238E27FC236}">
              <a16:creationId xmlns:a16="http://schemas.microsoft.com/office/drawing/2014/main" id="{00000000-0008-0000-0200-00007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1" name="Rectangle 60">
          <a:extLst>
            <a:ext uri="{FF2B5EF4-FFF2-40B4-BE49-F238E27FC236}">
              <a16:creationId xmlns:a16="http://schemas.microsoft.com/office/drawing/2014/main" id="{00000000-0008-0000-0200-00007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2" name="Rectangle 61">
          <a:extLst>
            <a:ext uri="{FF2B5EF4-FFF2-40B4-BE49-F238E27FC236}">
              <a16:creationId xmlns:a16="http://schemas.microsoft.com/office/drawing/2014/main" id="{00000000-0008-0000-0200-00007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3" name="Rectangle 62">
          <a:extLst>
            <a:ext uri="{FF2B5EF4-FFF2-40B4-BE49-F238E27FC236}">
              <a16:creationId xmlns:a16="http://schemas.microsoft.com/office/drawing/2014/main" id="{00000000-0008-0000-0200-00007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4" name="Rectangle 63">
          <a:extLst>
            <a:ext uri="{FF2B5EF4-FFF2-40B4-BE49-F238E27FC236}">
              <a16:creationId xmlns:a16="http://schemas.microsoft.com/office/drawing/2014/main" id="{00000000-0008-0000-0200-00007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5" name="Rectangle 64">
          <a:extLst>
            <a:ext uri="{FF2B5EF4-FFF2-40B4-BE49-F238E27FC236}">
              <a16:creationId xmlns:a16="http://schemas.microsoft.com/office/drawing/2014/main" id="{00000000-0008-0000-0200-00007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6" name="Rectangle 65">
          <a:extLst>
            <a:ext uri="{FF2B5EF4-FFF2-40B4-BE49-F238E27FC236}">
              <a16:creationId xmlns:a16="http://schemas.microsoft.com/office/drawing/2014/main" id="{00000000-0008-0000-0200-00007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7" name="Rectangle 66">
          <a:extLst>
            <a:ext uri="{FF2B5EF4-FFF2-40B4-BE49-F238E27FC236}">
              <a16:creationId xmlns:a16="http://schemas.microsoft.com/office/drawing/2014/main" id="{00000000-0008-0000-0200-00007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8" name="Rectangle 67">
          <a:extLst>
            <a:ext uri="{FF2B5EF4-FFF2-40B4-BE49-F238E27FC236}">
              <a16:creationId xmlns:a16="http://schemas.microsoft.com/office/drawing/2014/main" id="{00000000-0008-0000-0200-00007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79" name="Rectangle 68">
          <a:extLst>
            <a:ext uri="{FF2B5EF4-FFF2-40B4-BE49-F238E27FC236}">
              <a16:creationId xmlns:a16="http://schemas.microsoft.com/office/drawing/2014/main" id="{00000000-0008-0000-0200-00007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0" name="Rectangle 69">
          <a:extLst>
            <a:ext uri="{FF2B5EF4-FFF2-40B4-BE49-F238E27FC236}">
              <a16:creationId xmlns:a16="http://schemas.microsoft.com/office/drawing/2014/main" id="{00000000-0008-0000-0200-00007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1" name="Rectangle 70">
          <a:extLst>
            <a:ext uri="{FF2B5EF4-FFF2-40B4-BE49-F238E27FC236}">
              <a16:creationId xmlns:a16="http://schemas.microsoft.com/office/drawing/2014/main" id="{00000000-0008-0000-0200-00007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2" name="Rectangle 71">
          <a:extLst>
            <a:ext uri="{FF2B5EF4-FFF2-40B4-BE49-F238E27FC236}">
              <a16:creationId xmlns:a16="http://schemas.microsoft.com/office/drawing/2014/main" id="{00000000-0008-0000-0200-00007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3" name="Rectangle 72">
          <a:extLst>
            <a:ext uri="{FF2B5EF4-FFF2-40B4-BE49-F238E27FC236}">
              <a16:creationId xmlns:a16="http://schemas.microsoft.com/office/drawing/2014/main" id="{00000000-0008-0000-0200-00007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4" name="Rectangle 73">
          <a:extLst>
            <a:ext uri="{FF2B5EF4-FFF2-40B4-BE49-F238E27FC236}">
              <a16:creationId xmlns:a16="http://schemas.microsoft.com/office/drawing/2014/main" id="{00000000-0008-0000-0200-00008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5" name="Rectangle 74">
          <a:extLst>
            <a:ext uri="{FF2B5EF4-FFF2-40B4-BE49-F238E27FC236}">
              <a16:creationId xmlns:a16="http://schemas.microsoft.com/office/drawing/2014/main" id="{00000000-0008-0000-0200-00008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6" name="Rectangle 75">
          <a:extLst>
            <a:ext uri="{FF2B5EF4-FFF2-40B4-BE49-F238E27FC236}">
              <a16:creationId xmlns:a16="http://schemas.microsoft.com/office/drawing/2014/main" id="{00000000-0008-0000-0200-00008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7" name="Rectangle 76">
          <a:extLst>
            <a:ext uri="{FF2B5EF4-FFF2-40B4-BE49-F238E27FC236}">
              <a16:creationId xmlns:a16="http://schemas.microsoft.com/office/drawing/2014/main" id="{00000000-0008-0000-0200-00008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8" name="Rectangle 77">
          <a:extLst>
            <a:ext uri="{FF2B5EF4-FFF2-40B4-BE49-F238E27FC236}">
              <a16:creationId xmlns:a16="http://schemas.microsoft.com/office/drawing/2014/main" id="{00000000-0008-0000-0200-00008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89" name="Rectangle 78">
          <a:extLst>
            <a:ext uri="{FF2B5EF4-FFF2-40B4-BE49-F238E27FC236}">
              <a16:creationId xmlns:a16="http://schemas.microsoft.com/office/drawing/2014/main" id="{00000000-0008-0000-0200-00008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90" name="Rectangle 79">
          <a:extLst>
            <a:ext uri="{FF2B5EF4-FFF2-40B4-BE49-F238E27FC236}">
              <a16:creationId xmlns:a16="http://schemas.microsoft.com/office/drawing/2014/main" id="{00000000-0008-0000-0200-00008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91" name="Rectangle 80">
          <a:extLst>
            <a:ext uri="{FF2B5EF4-FFF2-40B4-BE49-F238E27FC236}">
              <a16:creationId xmlns:a16="http://schemas.microsoft.com/office/drawing/2014/main" id="{00000000-0008-0000-0200-00008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92" name="Rectangle 81">
          <a:extLst>
            <a:ext uri="{FF2B5EF4-FFF2-40B4-BE49-F238E27FC236}">
              <a16:creationId xmlns:a16="http://schemas.microsoft.com/office/drawing/2014/main" id="{00000000-0008-0000-0200-00008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93" name="Rectangle 82">
          <a:extLst>
            <a:ext uri="{FF2B5EF4-FFF2-40B4-BE49-F238E27FC236}">
              <a16:creationId xmlns:a16="http://schemas.microsoft.com/office/drawing/2014/main" id="{00000000-0008-0000-0200-00008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94" name="Rectangle 83">
          <a:extLst>
            <a:ext uri="{FF2B5EF4-FFF2-40B4-BE49-F238E27FC236}">
              <a16:creationId xmlns:a16="http://schemas.microsoft.com/office/drawing/2014/main" id="{00000000-0008-0000-0200-00008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95" name="Rectangle 84">
          <a:extLst>
            <a:ext uri="{FF2B5EF4-FFF2-40B4-BE49-F238E27FC236}">
              <a16:creationId xmlns:a16="http://schemas.microsoft.com/office/drawing/2014/main" id="{00000000-0008-0000-0200-00008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339" name="Texto 10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>
          <a:spLocks noChangeArrowheads="1"/>
        </xdr:cNvSpPr>
      </xdr:nvSpPr>
      <xdr:spPr bwMode="auto">
        <a:xfrm>
          <a:off x="38100" y="1847850"/>
          <a:ext cx="228600" cy="5524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GERAL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340" name="Texto 23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>
          <a:spLocks noChangeArrowheads="1"/>
        </xdr:cNvSpPr>
      </xdr:nvSpPr>
      <xdr:spPr bwMode="auto">
        <a:xfrm>
          <a:off x="57150" y="3448050"/>
          <a:ext cx="219075" cy="10382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ACESSÓRIOS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98" name="Rectangle 3">
          <a:extLst>
            <a:ext uri="{FF2B5EF4-FFF2-40B4-BE49-F238E27FC236}">
              <a16:creationId xmlns:a16="http://schemas.microsoft.com/office/drawing/2014/main" id="{00000000-0008-0000-0200-00008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399" name="Rectangle 4">
          <a:extLst>
            <a:ext uri="{FF2B5EF4-FFF2-40B4-BE49-F238E27FC236}">
              <a16:creationId xmlns:a16="http://schemas.microsoft.com/office/drawing/2014/main" id="{00000000-0008-0000-0200-00008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0" name="Rectangle 5">
          <a:extLst>
            <a:ext uri="{FF2B5EF4-FFF2-40B4-BE49-F238E27FC236}">
              <a16:creationId xmlns:a16="http://schemas.microsoft.com/office/drawing/2014/main" id="{00000000-0008-0000-0200-00009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1" name="Rectangle 6">
          <a:extLst>
            <a:ext uri="{FF2B5EF4-FFF2-40B4-BE49-F238E27FC236}">
              <a16:creationId xmlns:a16="http://schemas.microsoft.com/office/drawing/2014/main" id="{00000000-0008-0000-0200-00009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2" name="Rectangle 7">
          <a:extLst>
            <a:ext uri="{FF2B5EF4-FFF2-40B4-BE49-F238E27FC236}">
              <a16:creationId xmlns:a16="http://schemas.microsoft.com/office/drawing/2014/main" id="{00000000-0008-0000-0200-00009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3" name="Rectangle 8">
          <a:extLst>
            <a:ext uri="{FF2B5EF4-FFF2-40B4-BE49-F238E27FC236}">
              <a16:creationId xmlns:a16="http://schemas.microsoft.com/office/drawing/2014/main" id="{00000000-0008-0000-0200-00009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4" name="Rectangle 9">
          <a:extLst>
            <a:ext uri="{FF2B5EF4-FFF2-40B4-BE49-F238E27FC236}">
              <a16:creationId xmlns:a16="http://schemas.microsoft.com/office/drawing/2014/main" id="{00000000-0008-0000-0200-00009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5" name="Rectangle 10">
          <a:extLst>
            <a:ext uri="{FF2B5EF4-FFF2-40B4-BE49-F238E27FC236}">
              <a16:creationId xmlns:a16="http://schemas.microsoft.com/office/drawing/2014/main" id="{00000000-0008-0000-0200-00009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6" name="Rectangle 11">
          <a:extLst>
            <a:ext uri="{FF2B5EF4-FFF2-40B4-BE49-F238E27FC236}">
              <a16:creationId xmlns:a16="http://schemas.microsoft.com/office/drawing/2014/main" id="{00000000-0008-0000-0200-00009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7" name="Rectangle 12">
          <a:extLst>
            <a:ext uri="{FF2B5EF4-FFF2-40B4-BE49-F238E27FC236}">
              <a16:creationId xmlns:a16="http://schemas.microsoft.com/office/drawing/2014/main" id="{00000000-0008-0000-0200-00009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8" name="Rectangle 13">
          <a:extLst>
            <a:ext uri="{FF2B5EF4-FFF2-40B4-BE49-F238E27FC236}">
              <a16:creationId xmlns:a16="http://schemas.microsoft.com/office/drawing/2014/main" id="{00000000-0008-0000-0200-00009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09" name="Rectangle 14">
          <a:extLst>
            <a:ext uri="{FF2B5EF4-FFF2-40B4-BE49-F238E27FC236}">
              <a16:creationId xmlns:a16="http://schemas.microsoft.com/office/drawing/2014/main" id="{00000000-0008-0000-0200-00009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0" name="Rectangle 15">
          <a:extLst>
            <a:ext uri="{FF2B5EF4-FFF2-40B4-BE49-F238E27FC236}">
              <a16:creationId xmlns:a16="http://schemas.microsoft.com/office/drawing/2014/main" id="{00000000-0008-0000-0200-00009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1" name="Rectangle 16">
          <a:extLst>
            <a:ext uri="{FF2B5EF4-FFF2-40B4-BE49-F238E27FC236}">
              <a16:creationId xmlns:a16="http://schemas.microsoft.com/office/drawing/2014/main" id="{00000000-0008-0000-0200-00009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2" name="Rectangle 17">
          <a:extLst>
            <a:ext uri="{FF2B5EF4-FFF2-40B4-BE49-F238E27FC236}">
              <a16:creationId xmlns:a16="http://schemas.microsoft.com/office/drawing/2014/main" id="{00000000-0008-0000-0200-00009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3" name="Rectangle 18">
          <a:extLst>
            <a:ext uri="{FF2B5EF4-FFF2-40B4-BE49-F238E27FC236}">
              <a16:creationId xmlns:a16="http://schemas.microsoft.com/office/drawing/2014/main" id="{00000000-0008-0000-0200-00009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4" name="Rectangle 19">
          <a:extLst>
            <a:ext uri="{FF2B5EF4-FFF2-40B4-BE49-F238E27FC236}">
              <a16:creationId xmlns:a16="http://schemas.microsoft.com/office/drawing/2014/main" id="{00000000-0008-0000-0200-00009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5" name="Rectangle 20">
          <a:extLst>
            <a:ext uri="{FF2B5EF4-FFF2-40B4-BE49-F238E27FC236}">
              <a16:creationId xmlns:a16="http://schemas.microsoft.com/office/drawing/2014/main" id="{00000000-0008-0000-0200-00009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6" name="Rectangle 21">
          <a:extLst>
            <a:ext uri="{FF2B5EF4-FFF2-40B4-BE49-F238E27FC236}">
              <a16:creationId xmlns:a16="http://schemas.microsoft.com/office/drawing/2014/main" id="{00000000-0008-0000-0200-0000A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7" name="Rectangle 22">
          <a:extLst>
            <a:ext uri="{FF2B5EF4-FFF2-40B4-BE49-F238E27FC236}">
              <a16:creationId xmlns:a16="http://schemas.microsoft.com/office/drawing/2014/main" id="{00000000-0008-0000-0200-0000A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8" name="Rectangle 23">
          <a:extLst>
            <a:ext uri="{FF2B5EF4-FFF2-40B4-BE49-F238E27FC236}">
              <a16:creationId xmlns:a16="http://schemas.microsoft.com/office/drawing/2014/main" id="{00000000-0008-0000-0200-0000A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19" name="Rectangle 24">
          <a:extLst>
            <a:ext uri="{FF2B5EF4-FFF2-40B4-BE49-F238E27FC236}">
              <a16:creationId xmlns:a16="http://schemas.microsoft.com/office/drawing/2014/main" id="{00000000-0008-0000-0200-0000A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0" name="Rectangle 26">
          <a:extLst>
            <a:ext uri="{FF2B5EF4-FFF2-40B4-BE49-F238E27FC236}">
              <a16:creationId xmlns:a16="http://schemas.microsoft.com/office/drawing/2014/main" id="{00000000-0008-0000-0200-0000A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1" name="Rectangle 27">
          <a:extLst>
            <a:ext uri="{FF2B5EF4-FFF2-40B4-BE49-F238E27FC236}">
              <a16:creationId xmlns:a16="http://schemas.microsoft.com/office/drawing/2014/main" id="{00000000-0008-0000-0200-0000A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2" name="Rectangle 28">
          <a:extLst>
            <a:ext uri="{FF2B5EF4-FFF2-40B4-BE49-F238E27FC236}">
              <a16:creationId xmlns:a16="http://schemas.microsoft.com/office/drawing/2014/main" id="{00000000-0008-0000-0200-0000A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3" name="Rectangle 29">
          <a:extLst>
            <a:ext uri="{FF2B5EF4-FFF2-40B4-BE49-F238E27FC236}">
              <a16:creationId xmlns:a16="http://schemas.microsoft.com/office/drawing/2014/main" id="{00000000-0008-0000-0200-0000A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4" name="Rectangle 30">
          <a:extLst>
            <a:ext uri="{FF2B5EF4-FFF2-40B4-BE49-F238E27FC236}">
              <a16:creationId xmlns:a16="http://schemas.microsoft.com/office/drawing/2014/main" id="{00000000-0008-0000-0200-0000A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5" name="Rectangle 31">
          <a:extLst>
            <a:ext uri="{FF2B5EF4-FFF2-40B4-BE49-F238E27FC236}">
              <a16:creationId xmlns:a16="http://schemas.microsoft.com/office/drawing/2014/main" id="{00000000-0008-0000-0200-0000A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6" name="Rectangle 32">
          <a:extLst>
            <a:ext uri="{FF2B5EF4-FFF2-40B4-BE49-F238E27FC236}">
              <a16:creationId xmlns:a16="http://schemas.microsoft.com/office/drawing/2014/main" id="{00000000-0008-0000-0200-0000A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7" name="Rectangle 33">
          <a:extLst>
            <a:ext uri="{FF2B5EF4-FFF2-40B4-BE49-F238E27FC236}">
              <a16:creationId xmlns:a16="http://schemas.microsoft.com/office/drawing/2014/main" id="{00000000-0008-0000-0200-0000A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8" name="Rectangle 34">
          <a:extLst>
            <a:ext uri="{FF2B5EF4-FFF2-40B4-BE49-F238E27FC236}">
              <a16:creationId xmlns:a16="http://schemas.microsoft.com/office/drawing/2014/main" id="{00000000-0008-0000-0200-0000A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29" name="Rectangle 35">
          <a:extLst>
            <a:ext uri="{FF2B5EF4-FFF2-40B4-BE49-F238E27FC236}">
              <a16:creationId xmlns:a16="http://schemas.microsoft.com/office/drawing/2014/main" id="{00000000-0008-0000-0200-0000A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0" name="Rectangle 36">
          <a:extLst>
            <a:ext uri="{FF2B5EF4-FFF2-40B4-BE49-F238E27FC236}">
              <a16:creationId xmlns:a16="http://schemas.microsoft.com/office/drawing/2014/main" id="{00000000-0008-0000-0200-0000A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1" name="Rectangle 37">
          <a:extLst>
            <a:ext uri="{FF2B5EF4-FFF2-40B4-BE49-F238E27FC236}">
              <a16:creationId xmlns:a16="http://schemas.microsoft.com/office/drawing/2014/main" id="{00000000-0008-0000-0200-0000A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2" name="Rectangle 38">
          <a:extLst>
            <a:ext uri="{FF2B5EF4-FFF2-40B4-BE49-F238E27FC236}">
              <a16:creationId xmlns:a16="http://schemas.microsoft.com/office/drawing/2014/main" id="{00000000-0008-0000-0200-0000B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3" name="Rectangle 39">
          <a:extLst>
            <a:ext uri="{FF2B5EF4-FFF2-40B4-BE49-F238E27FC236}">
              <a16:creationId xmlns:a16="http://schemas.microsoft.com/office/drawing/2014/main" id="{00000000-0008-0000-0200-0000B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4" name="Rectangle 40">
          <a:extLst>
            <a:ext uri="{FF2B5EF4-FFF2-40B4-BE49-F238E27FC236}">
              <a16:creationId xmlns:a16="http://schemas.microsoft.com/office/drawing/2014/main" id="{00000000-0008-0000-0200-0000B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5" name="Rectangle 41">
          <a:extLst>
            <a:ext uri="{FF2B5EF4-FFF2-40B4-BE49-F238E27FC236}">
              <a16:creationId xmlns:a16="http://schemas.microsoft.com/office/drawing/2014/main" id="{00000000-0008-0000-0200-0000B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6" name="Rectangle 42">
          <a:extLst>
            <a:ext uri="{FF2B5EF4-FFF2-40B4-BE49-F238E27FC236}">
              <a16:creationId xmlns:a16="http://schemas.microsoft.com/office/drawing/2014/main" id="{00000000-0008-0000-0200-0000B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7" name="Rectangle 43">
          <a:extLst>
            <a:ext uri="{FF2B5EF4-FFF2-40B4-BE49-F238E27FC236}">
              <a16:creationId xmlns:a16="http://schemas.microsoft.com/office/drawing/2014/main" id="{00000000-0008-0000-0200-0000B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8" name="Rectangle 44">
          <a:extLst>
            <a:ext uri="{FF2B5EF4-FFF2-40B4-BE49-F238E27FC236}">
              <a16:creationId xmlns:a16="http://schemas.microsoft.com/office/drawing/2014/main" id="{00000000-0008-0000-0200-0000B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39" name="Rectangle 45">
          <a:extLst>
            <a:ext uri="{FF2B5EF4-FFF2-40B4-BE49-F238E27FC236}">
              <a16:creationId xmlns:a16="http://schemas.microsoft.com/office/drawing/2014/main" id="{00000000-0008-0000-0200-0000B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40" name="Rectangle 46">
          <a:extLst>
            <a:ext uri="{FF2B5EF4-FFF2-40B4-BE49-F238E27FC236}">
              <a16:creationId xmlns:a16="http://schemas.microsoft.com/office/drawing/2014/main" id="{00000000-0008-0000-0200-0000B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41" name="Rectangle 47">
          <a:extLst>
            <a:ext uri="{FF2B5EF4-FFF2-40B4-BE49-F238E27FC236}">
              <a16:creationId xmlns:a16="http://schemas.microsoft.com/office/drawing/2014/main" id="{00000000-0008-0000-0200-0000B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42" name="Rectangle 48">
          <a:extLst>
            <a:ext uri="{FF2B5EF4-FFF2-40B4-BE49-F238E27FC236}">
              <a16:creationId xmlns:a16="http://schemas.microsoft.com/office/drawing/2014/main" id="{00000000-0008-0000-0200-0000B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43" name="Rectangle 49">
          <a:extLst>
            <a:ext uri="{FF2B5EF4-FFF2-40B4-BE49-F238E27FC236}">
              <a16:creationId xmlns:a16="http://schemas.microsoft.com/office/drawing/2014/main" id="{00000000-0008-0000-0200-0000B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44" name="Rectangle 50">
          <a:extLst>
            <a:ext uri="{FF2B5EF4-FFF2-40B4-BE49-F238E27FC236}">
              <a16:creationId xmlns:a16="http://schemas.microsoft.com/office/drawing/2014/main" id="{00000000-0008-0000-0200-0000B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388" name="Texto 190"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SpPr txBox="1">
          <a:spLocks noChangeArrowheads="1"/>
        </xdr:cNvSpPr>
      </xdr:nvSpPr>
      <xdr:spPr bwMode="auto">
        <a:xfrm>
          <a:off x="28575" y="5562600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389" name="Texto 192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SpPr txBox="1">
          <a:spLocks noChangeArrowheads="1"/>
        </xdr:cNvSpPr>
      </xdr:nvSpPr>
      <xdr:spPr bwMode="auto">
        <a:xfrm>
          <a:off x="28575" y="7667625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47" name="Rectangle 53">
          <a:extLst>
            <a:ext uri="{FF2B5EF4-FFF2-40B4-BE49-F238E27FC236}">
              <a16:creationId xmlns:a16="http://schemas.microsoft.com/office/drawing/2014/main" id="{00000000-0008-0000-0200-0000B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48" name="Rectangle 54">
          <a:extLst>
            <a:ext uri="{FF2B5EF4-FFF2-40B4-BE49-F238E27FC236}">
              <a16:creationId xmlns:a16="http://schemas.microsoft.com/office/drawing/2014/main" id="{00000000-0008-0000-0200-0000C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49" name="Rectangle 55">
          <a:extLst>
            <a:ext uri="{FF2B5EF4-FFF2-40B4-BE49-F238E27FC236}">
              <a16:creationId xmlns:a16="http://schemas.microsoft.com/office/drawing/2014/main" id="{00000000-0008-0000-0200-0000C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0" name="Rectangle 56">
          <a:extLst>
            <a:ext uri="{FF2B5EF4-FFF2-40B4-BE49-F238E27FC236}">
              <a16:creationId xmlns:a16="http://schemas.microsoft.com/office/drawing/2014/main" id="{00000000-0008-0000-0200-0000C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1" name="Rectangle 57">
          <a:extLst>
            <a:ext uri="{FF2B5EF4-FFF2-40B4-BE49-F238E27FC236}">
              <a16:creationId xmlns:a16="http://schemas.microsoft.com/office/drawing/2014/main" id="{00000000-0008-0000-0200-0000C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2" name="Rectangle 58">
          <a:extLst>
            <a:ext uri="{FF2B5EF4-FFF2-40B4-BE49-F238E27FC236}">
              <a16:creationId xmlns:a16="http://schemas.microsoft.com/office/drawing/2014/main" id="{00000000-0008-0000-0200-0000C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3" name="Rectangle 59">
          <a:extLst>
            <a:ext uri="{FF2B5EF4-FFF2-40B4-BE49-F238E27FC236}">
              <a16:creationId xmlns:a16="http://schemas.microsoft.com/office/drawing/2014/main" id="{00000000-0008-0000-0200-0000C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4" name="Rectangle 60">
          <a:extLst>
            <a:ext uri="{FF2B5EF4-FFF2-40B4-BE49-F238E27FC236}">
              <a16:creationId xmlns:a16="http://schemas.microsoft.com/office/drawing/2014/main" id="{00000000-0008-0000-0200-0000C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5" name="Rectangle 61">
          <a:extLst>
            <a:ext uri="{FF2B5EF4-FFF2-40B4-BE49-F238E27FC236}">
              <a16:creationId xmlns:a16="http://schemas.microsoft.com/office/drawing/2014/main" id="{00000000-0008-0000-0200-0000C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6" name="Rectangle 62">
          <a:extLst>
            <a:ext uri="{FF2B5EF4-FFF2-40B4-BE49-F238E27FC236}">
              <a16:creationId xmlns:a16="http://schemas.microsoft.com/office/drawing/2014/main" id="{00000000-0008-0000-0200-0000C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7" name="Rectangle 63">
          <a:extLst>
            <a:ext uri="{FF2B5EF4-FFF2-40B4-BE49-F238E27FC236}">
              <a16:creationId xmlns:a16="http://schemas.microsoft.com/office/drawing/2014/main" id="{00000000-0008-0000-0200-0000C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8" name="Rectangle 64">
          <a:extLst>
            <a:ext uri="{FF2B5EF4-FFF2-40B4-BE49-F238E27FC236}">
              <a16:creationId xmlns:a16="http://schemas.microsoft.com/office/drawing/2014/main" id="{00000000-0008-0000-0200-0000C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59" name="Rectangle 65">
          <a:extLst>
            <a:ext uri="{FF2B5EF4-FFF2-40B4-BE49-F238E27FC236}">
              <a16:creationId xmlns:a16="http://schemas.microsoft.com/office/drawing/2014/main" id="{00000000-0008-0000-0200-0000C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0" name="Rectangle 66">
          <a:extLst>
            <a:ext uri="{FF2B5EF4-FFF2-40B4-BE49-F238E27FC236}">
              <a16:creationId xmlns:a16="http://schemas.microsoft.com/office/drawing/2014/main" id="{00000000-0008-0000-0200-0000C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1" name="Rectangle 67">
          <a:extLst>
            <a:ext uri="{FF2B5EF4-FFF2-40B4-BE49-F238E27FC236}">
              <a16:creationId xmlns:a16="http://schemas.microsoft.com/office/drawing/2014/main" id="{00000000-0008-0000-0200-0000C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2" name="Rectangle 68">
          <a:extLst>
            <a:ext uri="{FF2B5EF4-FFF2-40B4-BE49-F238E27FC236}">
              <a16:creationId xmlns:a16="http://schemas.microsoft.com/office/drawing/2014/main" id="{00000000-0008-0000-0200-0000C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3" name="Rectangle 69">
          <a:extLst>
            <a:ext uri="{FF2B5EF4-FFF2-40B4-BE49-F238E27FC236}">
              <a16:creationId xmlns:a16="http://schemas.microsoft.com/office/drawing/2014/main" id="{00000000-0008-0000-0200-0000C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4" name="Rectangle 70">
          <a:extLst>
            <a:ext uri="{FF2B5EF4-FFF2-40B4-BE49-F238E27FC236}">
              <a16:creationId xmlns:a16="http://schemas.microsoft.com/office/drawing/2014/main" id="{00000000-0008-0000-0200-0000D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5" name="Rectangle 71">
          <a:extLst>
            <a:ext uri="{FF2B5EF4-FFF2-40B4-BE49-F238E27FC236}">
              <a16:creationId xmlns:a16="http://schemas.microsoft.com/office/drawing/2014/main" id="{00000000-0008-0000-0200-0000D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6" name="Rectangle 72">
          <a:extLst>
            <a:ext uri="{FF2B5EF4-FFF2-40B4-BE49-F238E27FC236}">
              <a16:creationId xmlns:a16="http://schemas.microsoft.com/office/drawing/2014/main" id="{00000000-0008-0000-0200-0000D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7" name="Rectangle 73">
          <a:extLst>
            <a:ext uri="{FF2B5EF4-FFF2-40B4-BE49-F238E27FC236}">
              <a16:creationId xmlns:a16="http://schemas.microsoft.com/office/drawing/2014/main" id="{00000000-0008-0000-0200-0000D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8" name="Rectangle 74">
          <a:extLst>
            <a:ext uri="{FF2B5EF4-FFF2-40B4-BE49-F238E27FC236}">
              <a16:creationId xmlns:a16="http://schemas.microsoft.com/office/drawing/2014/main" id="{00000000-0008-0000-0200-0000D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69" name="Rectangle 75">
          <a:extLst>
            <a:ext uri="{FF2B5EF4-FFF2-40B4-BE49-F238E27FC236}">
              <a16:creationId xmlns:a16="http://schemas.microsoft.com/office/drawing/2014/main" id="{00000000-0008-0000-0200-0000D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0" name="Rectangle 76">
          <a:extLst>
            <a:ext uri="{FF2B5EF4-FFF2-40B4-BE49-F238E27FC236}">
              <a16:creationId xmlns:a16="http://schemas.microsoft.com/office/drawing/2014/main" id="{00000000-0008-0000-0200-0000D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1" name="Rectangle 77">
          <a:extLst>
            <a:ext uri="{FF2B5EF4-FFF2-40B4-BE49-F238E27FC236}">
              <a16:creationId xmlns:a16="http://schemas.microsoft.com/office/drawing/2014/main" id="{00000000-0008-0000-0200-0000D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2" name="Rectangle 78">
          <a:extLst>
            <a:ext uri="{FF2B5EF4-FFF2-40B4-BE49-F238E27FC236}">
              <a16:creationId xmlns:a16="http://schemas.microsoft.com/office/drawing/2014/main" id="{00000000-0008-0000-0200-0000D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3" name="Rectangle 79">
          <a:extLst>
            <a:ext uri="{FF2B5EF4-FFF2-40B4-BE49-F238E27FC236}">
              <a16:creationId xmlns:a16="http://schemas.microsoft.com/office/drawing/2014/main" id="{00000000-0008-0000-0200-0000D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4" name="Rectangle 80">
          <a:extLst>
            <a:ext uri="{FF2B5EF4-FFF2-40B4-BE49-F238E27FC236}">
              <a16:creationId xmlns:a16="http://schemas.microsoft.com/office/drawing/2014/main" id="{00000000-0008-0000-0200-0000D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5" name="Rectangle 81">
          <a:extLst>
            <a:ext uri="{FF2B5EF4-FFF2-40B4-BE49-F238E27FC236}">
              <a16:creationId xmlns:a16="http://schemas.microsoft.com/office/drawing/2014/main" id="{00000000-0008-0000-0200-0000D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6" name="Rectangle 82">
          <a:extLst>
            <a:ext uri="{FF2B5EF4-FFF2-40B4-BE49-F238E27FC236}">
              <a16:creationId xmlns:a16="http://schemas.microsoft.com/office/drawing/2014/main" id="{00000000-0008-0000-0200-0000D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7" name="Rectangle 83">
          <a:extLst>
            <a:ext uri="{FF2B5EF4-FFF2-40B4-BE49-F238E27FC236}">
              <a16:creationId xmlns:a16="http://schemas.microsoft.com/office/drawing/2014/main" id="{00000000-0008-0000-0200-0000D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78" name="Rectangle 84">
          <a:extLst>
            <a:ext uri="{FF2B5EF4-FFF2-40B4-BE49-F238E27FC236}">
              <a16:creationId xmlns:a16="http://schemas.microsoft.com/office/drawing/2014/main" id="{00000000-0008-0000-0200-0000D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423" name="Texto 10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>
          <a:spLocks noChangeArrowheads="1"/>
        </xdr:cNvSpPr>
      </xdr:nvSpPr>
      <xdr:spPr bwMode="auto">
        <a:xfrm>
          <a:off x="38100" y="1847850"/>
          <a:ext cx="228600" cy="5524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GERAL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424" name="Texto 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>
          <a:spLocks noChangeArrowheads="1"/>
        </xdr:cNvSpPr>
      </xdr:nvSpPr>
      <xdr:spPr bwMode="auto">
        <a:xfrm>
          <a:off x="57150" y="3448050"/>
          <a:ext cx="219075" cy="10382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ACESSÓRIOS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1" name="Rectangle 3">
          <a:extLst>
            <a:ext uri="{FF2B5EF4-FFF2-40B4-BE49-F238E27FC236}">
              <a16:creationId xmlns:a16="http://schemas.microsoft.com/office/drawing/2014/main" id="{00000000-0008-0000-0200-0000E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2" name="Rectangle 4">
          <a:extLst>
            <a:ext uri="{FF2B5EF4-FFF2-40B4-BE49-F238E27FC236}">
              <a16:creationId xmlns:a16="http://schemas.microsoft.com/office/drawing/2014/main" id="{00000000-0008-0000-0200-0000E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3" name="Rectangle 5">
          <a:extLst>
            <a:ext uri="{FF2B5EF4-FFF2-40B4-BE49-F238E27FC236}">
              <a16:creationId xmlns:a16="http://schemas.microsoft.com/office/drawing/2014/main" id="{00000000-0008-0000-0200-0000E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4" name="Rectangle 6">
          <a:extLst>
            <a:ext uri="{FF2B5EF4-FFF2-40B4-BE49-F238E27FC236}">
              <a16:creationId xmlns:a16="http://schemas.microsoft.com/office/drawing/2014/main" id="{00000000-0008-0000-0200-0000E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5" name="Rectangle 7">
          <a:extLst>
            <a:ext uri="{FF2B5EF4-FFF2-40B4-BE49-F238E27FC236}">
              <a16:creationId xmlns:a16="http://schemas.microsoft.com/office/drawing/2014/main" id="{00000000-0008-0000-0200-0000E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6" name="Rectangle 8">
          <a:extLst>
            <a:ext uri="{FF2B5EF4-FFF2-40B4-BE49-F238E27FC236}">
              <a16:creationId xmlns:a16="http://schemas.microsoft.com/office/drawing/2014/main" id="{00000000-0008-0000-0200-0000E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7" name="Rectangle 9">
          <a:extLst>
            <a:ext uri="{FF2B5EF4-FFF2-40B4-BE49-F238E27FC236}">
              <a16:creationId xmlns:a16="http://schemas.microsoft.com/office/drawing/2014/main" id="{00000000-0008-0000-0200-0000E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8" name="Rectangle 10">
          <a:extLst>
            <a:ext uri="{FF2B5EF4-FFF2-40B4-BE49-F238E27FC236}">
              <a16:creationId xmlns:a16="http://schemas.microsoft.com/office/drawing/2014/main" id="{00000000-0008-0000-0200-0000E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89" name="Rectangle 11">
          <a:extLst>
            <a:ext uri="{FF2B5EF4-FFF2-40B4-BE49-F238E27FC236}">
              <a16:creationId xmlns:a16="http://schemas.microsoft.com/office/drawing/2014/main" id="{00000000-0008-0000-0200-0000E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0" name="Rectangle 12">
          <a:extLst>
            <a:ext uri="{FF2B5EF4-FFF2-40B4-BE49-F238E27FC236}">
              <a16:creationId xmlns:a16="http://schemas.microsoft.com/office/drawing/2014/main" id="{00000000-0008-0000-0200-0000E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1" name="Rectangle 13">
          <a:extLst>
            <a:ext uri="{FF2B5EF4-FFF2-40B4-BE49-F238E27FC236}">
              <a16:creationId xmlns:a16="http://schemas.microsoft.com/office/drawing/2014/main" id="{00000000-0008-0000-0200-0000E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2" name="Rectangle 14">
          <a:extLst>
            <a:ext uri="{FF2B5EF4-FFF2-40B4-BE49-F238E27FC236}">
              <a16:creationId xmlns:a16="http://schemas.microsoft.com/office/drawing/2014/main" id="{00000000-0008-0000-0200-0000E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3" name="Rectangle 15">
          <a:extLst>
            <a:ext uri="{FF2B5EF4-FFF2-40B4-BE49-F238E27FC236}">
              <a16:creationId xmlns:a16="http://schemas.microsoft.com/office/drawing/2014/main" id="{00000000-0008-0000-0200-0000E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4" name="Rectangle 16">
          <a:extLst>
            <a:ext uri="{FF2B5EF4-FFF2-40B4-BE49-F238E27FC236}">
              <a16:creationId xmlns:a16="http://schemas.microsoft.com/office/drawing/2014/main" id="{00000000-0008-0000-0200-0000E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5" name="Rectangle 17">
          <a:extLst>
            <a:ext uri="{FF2B5EF4-FFF2-40B4-BE49-F238E27FC236}">
              <a16:creationId xmlns:a16="http://schemas.microsoft.com/office/drawing/2014/main" id="{00000000-0008-0000-0200-0000E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6" name="Rectangle 18">
          <a:extLst>
            <a:ext uri="{FF2B5EF4-FFF2-40B4-BE49-F238E27FC236}">
              <a16:creationId xmlns:a16="http://schemas.microsoft.com/office/drawing/2014/main" id="{00000000-0008-0000-0200-0000F0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7" name="Rectangle 19">
          <a:extLst>
            <a:ext uri="{FF2B5EF4-FFF2-40B4-BE49-F238E27FC236}">
              <a16:creationId xmlns:a16="http://schemas.microsoft.com/office/drawing/2014/main" id="{00000000-0008-0000-0200-0000F1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8" name="Rectangle 20">
          <a:extLst>
            <a:ext uri="{FF2B5EF4-FFF2-40B4-BE49-F238E27FC236}">
              <a16:creationId xmlns:a16="http://schemas.microsoft.com/office/drawing/2014/main" id="{00000000-0008-0000-0200-0000F2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499" name="Rectangle 21">
          <a:extLst>
            <a:ext uri="{FF2B5EF4-FFF2-40B4-BE49-F238E27FC236}">
              <a16:creationId xmlns:a16="http://schemas.microsoft.com/office/drawing/2014/main" id="{00000000-0008-0000-0200-0000F3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0" name="Rectangle 22">
          <a:extLst>
            <a:ext uri="{FF2B5EF4-FFF2-40B4-BE49-F238E27FC236}">
              <a16:creationId xmlns:a16="http://schemas.microsoft.com/office/drawing/2014/main" id="{00000000-0008-0000-0200-0000F4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1" name="Rectangle 23">
          <a:extLst>
            <a:ext uri="{FF2B5EF4-FFF2-40B4-BE49-F238E27FC236}">
              <a16:creationId xmlns:a16="http://schemas.microsoft.com/office/drawing/2014/main" id="{00000000-0008-0000-0200-0000F5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2" name="Rectangle 24">
          <a:extLst>
            <a:ext uri="{FF2B5EF4-FFF2-40B4-BE49-F238E27FC236}">
              <a16:creationId xmlns:a16="http://schemas.microsoft.com/office/drawing/2014/main" id="{00000000-0008-0000-0200-0000F6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3" name="Rectangle 26">
          <a:extLst>
            <a:ext uri="{FF2B5EF4-FFF2-40B4-BE49-F238E27FC236}">
              <a16:creationId xmlns:a16="http://schemas.microsoft.com/office/drawing/2014/main" id="{00000000-0008-0000-0200-0000F7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4" name="Rectangle 27">
          <a:extLst>
            <a:ext uri="{FF2B5EF4-FFF2-40B4-BE49-F238E27FC236}">
              <a16:creationId xmlns:a16="http://schemas.microsoft.com/office/drawing/2014/main" id="{00000000-0008-0000-0200-0000F8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5" name="Rectangle 28">
          <a:extLst>
            <a:ext uri="{FF2B5EF4-FFF2-40B4-BE49-F238E27FC236}">
              <a16:creationId xmlns:a16="http://schemas.microsoft.com/office/drawing/2014/main" id="{00000000-0008-0000-0200-0000F9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6" name="Rectangle 29">
          <a:extLst>
            <a:ext uri="{FF2B5EF4-FFF2-40B4-BE49-F238E27FC236}">
              <a16:creationId xmlns:a16="http://schemas.microsoft.com/office/drawing/2014/main" id="{00000000-0008-0000-0200-0000FA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7" name="Rectangle 30">
          <a:extLst>
            <a:ext uri="{FF2B5EF4-FFF2-40B4-BE49-F238E27FC236}">
              <a16:creationId xmlns:a16="http://schemas.microsoft.com/office/drawing/2014/main" id="{00000000-0008-0000-0200-0000FB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8" name="Rectangle 31">
          <a:extLst>
            <a:ext uri="{FF2B5EF4-FFF2-40B4-BE49-F238E27FC236}">
              <a16:creationId xmlns:a16="http://schemas.microsoft.com/office/drawing/2014/main" id="{00000000-0008-0000-0200-0000FC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09" name="Rectangle 32">
          <a:extLst>
            <a:ext uri="{FF2B5EF4-FFF2-40B4-BE49-F238E27FC236}">
              <a16:creationId xmlns:a16="http://schemas.microsoft.com/office/drawing/2014/main" id="{00000000-0008-0000-0200-0000FD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0" name="Rectangle 33">
          <a:extLst>
            <a:ext uri="{FF2B5EF4-FFF2-40B4-BE49-F238E27FC236}">
              <a16:creationId xmlns:a16="http://schemas.microsoft.com/office/drawing/2014/main" id="{00000000-0008-0000-0200-0000FE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1" name="Rectangle 34">
          <a:extLst>
            <a:ext uri="{FF2B5EF4-FFF2-40B4-BE49-F238E27FC236}">
              <a16:creationId xmlns:a16="http://schemas.microsoft.com/office/drawing/2014/main" id="{00000000-0008-0000-0200-0000FF72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2" name="Rectangle 35">
          <a:extLst>
            <a:ext uri="{FF2B5EF4-FFF2-40B4-BE49-F238E27FC236}">
              <a16:creationId xmlns:a16="http://schemas.microsoft.com/office/drawing/2014/main" id="{00000000-0008-0000-0200-00000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3" name="Rectangle 36">
          <a:extLst>
            <a:ext uri="{FF2B5EF4-FFF2-40B4-BE49-F238E27FC236}">
              <a16:creationId xmlns:a16="http://schemas.microsoft.com/office/drawing/2014/main" id="{00000000-0008-0000-0200-00000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4" name="Rectangle 37">
          <a:extLst>
            <a:ext uri="{FF2B5EF4-FFF2-40B4-BE49-F238E27FC236}">
              <a16:creationId xmlns:a16="http://schemas.microsoft.com/office/drawing/2014/main" id="{00000000-0008-0000-0200-00000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5" name="Rectangle 38">
          <a:extLst>
            <a:ext uri="{FF2B5EF4-FFF2-40B4-BE49-F238E27FC236}">
              <a16:creationId xmlns:a16="http://schemas.microsoft.com/office/drawing/2014/main" id="{00000000-0008-0000-0200-00000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6" name="Rectangle 39">
          <a:extLst>
            <a:ext uri="{FF2B5EF4-FFF2-40B4-BE49-F238E27FC236}">
              <a16:creationId xmlns:a16="http://schemas.microsoft.com/office/drawing/2014/main" id="{00000000-0008-0000-0200-00000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7" name="Rectangle 40">
          <a:extLst>
            <a:ext uri="{FF2B5EF4-FFF2-40B4-BE49-F238E27FC236}">
              <a16:creationId xmlns:a16="http://schemas.microsoft.com/office/drawing/2014/main" id="{00000000-0008-0000-0200-00000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8" name="Rectangle 41">
          <a:extLst>
            <a:ext uri="{FF2B5EF4-FFF2-40B4-BE49-F238E27FC236}">
              <a16:creationId xmlns:a16="http://schemas.microsoft.com/office/drawing/2014/main" id="{00000000-0008-0000-0200-00000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19" name="Rectangle 42">
          <a:extLst>
            <a:ext uri="{FF2B5EF4-FFF2-40B4-BE49-F238E27FC236}">
              <a16:creationId xmlns:a16="http://schemas.microsoft.com/office/drawing/2014/main" id="{00000000-0008-0000-0200-00000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20" name="Rectangle 43">
          <a:extLst>
            <a:ext uri="{FF2B5EF4-FFF2-40B4-BE49-F238E27FC236}">
              <a16:creationId xmlns:a16="http://schemas.microsoft.com/office/drawing/2014/main" id="{00000000-0008-0000-0200-00000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21" name="Rectangle 44">
          <a:extLst>
            <a:ext uri="{FF2B5EF4-FFF2-40B4-BE49-F238E27FC236}">
              <a16:creationId xmlns:a16="http://schemas.microsoft.com/office/drawing/2014/main" id="{00000000-0008-0000-0200-00000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22" name="Rectangle 45">
          <a:extLst>
            <a:ext uri="{FF2B5EF4-FFF2-40B4-BE49-F238E27FC236}">
              <a16:creationId xmlns:a16="http://schemas.microsoft.com/office/drawing/2014/main" id="{00000000-0008-0000-0200-00000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23" name="Rectangle 46">
          <a:extLst>
            <a:ext uri="{FF2B5EF4-FFF2-40B4-BE49-F238E27FC236}">
              <a16:creationId xmlns:a16="http://schemas.microsoft.com/office/drawing/2014/main" id="{00000000-0008-0000-0200-00000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24" name="Rectangle 47">
          <a:extLst>
            <a:ext uri="{FF2B5EF4-FFF2-40B4-BE49-F238E27FC236}">
              <a16:creationId xmlns:a16="http://schemas.microsoft.com/office/drawing/2014/main" id="{00000000-0008-0000-0200-00000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25" name="Rectangle 48">
          <a:extLst>
            <a:ext uri="{FF2B5EF4-FFF2-40B4-BE49-F238E27FC236}">
              <a16:creationId xmlns:a16="http://schemas.microsoft.com/office/drawing/2014/main" id="{00000000-0008-0000-0200-00000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26" name="Rectangle 49">
          <a:extLst>
            <a:ext uri="{FF2B5EF4-FFF2-40B4-BE49-F238E27FC236}">
              <a16:creationId xmlns:a16="http://schemas.microsoft.com/office/drawing/2014/main" id="{00000000-0008-0000-0200-00000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27" name="Rectangle 50">
          <a:extLst>
            <a:ext uri="{FF2B5EF4-FFF2-40B4-BE49-F238E27FC236}">
              <a16:creationId xmlns:a16="http://schemas.microsoft.com/office/drawing/2014/main" id="{00000000-0008-0000-0200-00000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472" name="Texto 190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 txBox="1">
          <a:spLocks noChangeArrowheads="1"/>
        </xdr:cNvSpPr>
      </xdr:nvSpPr>
      <xdr:spPr bwMode="auto">
        <a:xfrm>
          <a:off x="28575" y="5562600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473" name="Texto 19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SpPr txBox="1">
          <a:spLocks noChangeArrowheads="1"/>
        </xdr:cNvSpPr>
      </xdr:nvSpPr>
      <xdr:spPr bwMode="auto">
        <a:xfrm>
          <a:off x="28575" y="7667625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0" name="Rectangle 53">
          <a:extLst>
            <a:ext uri="{FF2B5EF4-FFF2-40B4-BE49-F238E27FC236}">
              <a16:creationId xmlns:a16="http://schemas.microsoft.com/office/drawing/2014/main" id="{00000000-0008-0000-0200-00001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1" name="Rectangle 54">
          <a:extLst>
            <a:ext uri="{FF2B5EF4-FFF2-40B4-BE49-F238E27FC236}">
              <a16:creationId xmlns:a16="http://schemas.microsoft.com/office/drawing/2014/main" id="{00000000-0008-0000-0200-00001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2" name="Rectangle 55">
          <a:extLst>
            <a:ext uri="{FF2B5EF4-FFF2-40B4-BE49-F238E27FC236}">
              <a16:creationId xmlns:a16="http://schemas.microsoft.com/office/drawing/2014/main" id="{00000000-0008-0000-0200-00001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3" name="Rectangle 56">
          <a:extLst>
            <a:ext uri="{FF2B5EF4-FFF2-40B4-BE49-F238E27FC236}">
              <a16:creationId xmlns:a16="http://schemas.microsoft.com/office/drawing/2014/main" id="{00000000-0008-0000-0200-00001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4" name="Rectangle 57">
          <a:extLst>
            <a:ext uri="{FF2B5EF4-FFF2-40B4-BE49-F238E27FC236}">
              <a16:creationId xmlns:a16="http://schemas.microsoft.com/office/drawing/2014/main" id="{00000000-0008-0000-0200-00001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5" name="Rectangle 58">
          <a:extLst>
            <a:ext uri="{FF2B5EF4-FFF2-40B4-BE49-F238E27FC236}">
              <a16:creationId xmlns:a16="http://schemas.microsoft.com/office/drawing/2014/main" id="{00000000-0008-0000-0200-00001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6" name="Rectangle 59">
          <a:extLst>
            <a:ext uri="{FF2B5EF4-FFF2-40B4-BE49-F238E27FC236}">
              <a16:creationId xmlns:a16="http://schemas.microsoft.com/office/drawing/2014/main" id="{00000000-0008-0000-0200-00001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7" name="Rectangle 60">
          <a:extLst>
            <a:ext uri="{FF2B5EF4-FFF2-40B4-BE49-F238E27FC236}">
              <a16:creationId xmlns:a16="http://schemas.microsoft.com/office/drawing/2014/main" id="{00000000-0008-0000-0200-00001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8" name="Rectangle 61">
          <a:extLst>
            <a:ext uri="{FF2B5EF4-FFF2-40B4-BE49-F238E27FC236}">
              <a16:creationId xmlns:a16="http://schemas.microsoft.com/office/drawing/2014/main" id="{00000000-0008-0000-0200-00001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39" name="Rectangle 62">
          <a:extLst>
            <a:ext uri="{FF2B5EF4-FFF2-40B4-BE49-F238E27FC236}">
              <a16:creationId xmlns:a16="http://schemas.microsoft.com/office/drawing/2014/main" id="{00000000-0008-0000-0200-00001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0" name="Rectangle 63">
          <a:extLst>
            <a:ext uri="{FF2B5EF4-FFF2-40B4-BE49-F238E27FC236}">
              <a16:creationId xmlns:a16="http://schemas.microsoft.com/office/drawing/2014/main" id="{00000000-0008-0000-0200-00001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1" name="Rectangle 64">
          <a:extLst>
            <a:ext uri="{FF2B5EF4-FFF2-40B4-BE49-F238E27FC236}">
              <a16:creationId xmlns:a16="http://schemas.microsoft.com/office/drawing/2014/main" id="{00000000-0008-0000-0200-00001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2" name="Rectangle 65">
          <a:extLst>
            <a:ext uri="{FF2B5EF4-FFF2-40B4-BE49-F238E27FC236}">
              <a16:creationId xmlns:a16="http://schemas.microsoft.com/office/drawing/2014/main" id="{00000000-0008-0000-0200-00001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3" name="Rectangle 66">
          <a:extLst>
            <a:ext uri="{FF2B5EF4-FFF2-40B4-BE49-F238E27FC236}">
              <a16:creationId xmlns:a16="http://schemas.microsoft.com/office/drawing/2014/main" id="{00000000-0008-0000-0200-00001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4" name="Rectangle 67">
          <a:extLst>
            <a:ext uri="{FF2B5EF4-FFF2-40B4-BE49-F238E27FC236}">
              <a16:creationId xmlns:a16="http://schemas.microsoft.com/office/drawing/2014/main" id="{00000000-0008-0000-0200-00002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5" name="Rectangle 68">
          <a:extLst>
            <a:ext uri="{FF2B5EF4-FFF2-40B4-BE49-F238E27FC236}">
              <a16:creationId xmlns:a16="http://schemas.microsoft.com/office/drawing/2014/main" id="{00000000-0008-0000-0200-00002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6" name="Rectangle 69">
          <a:extLst>
            <a:ext uri="{FF2B5EF4-FFF2-40B4-BE49-F238E27FC236}">
              <a16:creationId xmlns:a16="http://schemas.microsoft.com/office/drawing/2014/main" id="{00000000-0008-0000-0200-00002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7" name="Rectangle 70">
          <a:extLst>
            <a:ext uri="{FF2B5EF4-FFF2-40B4-BE49-F238E27FC236}">
              <a16:creationId xmlns:a16="http://schemas.microsoft.com/office/drawing/2014/main" id="{00000000-0008-0000-0200-00002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8" name="Rectangle 71">
          <a:extLst>
            <a:ext uri="{FF2B5EF4-FFF2-40B4-BE49-F238E27FC236}">
              <a16:creationId xmlns:a16="http://schemas.microsoft.com/office/drawing/2014/main" id="{00000000-0008-0000-0200-00002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49" name="Rectangle 72">
          <a:extLst>
            <a:ext uri="{FF2B5EF4-FFF2-40B4-BE49-F238E27FC236}">
              <a16:creationId xmlns:a16="http://schemas.microsoft.com/office/drawing/2014/main" id="{00000000-0008-0000-0200-00002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0" name="Rectangle 73">
          <a:extLst>
            <a:ext uri="{FF2B5EF4-FFF2-40B4-BE49-F238E27FC236}">
              <a16:creationId xmlns:a16="http://schemas.microsoft.com/office/drawing/2014/main" id="{00000000-0008-0000-0200-00002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1" name="Rectangle 74">
          <a:extLst>
            <a:ext uri="{FF2B5EF4-FFF2-40B4-BE49-F238E27FC236}">
              <a16:creationId xmlns:a16="http://schemas.microsoft.com/office/drawing/2014/main" id="{00000000-0008-0000-0200-00002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2" name="Rectangle 75">
          <a:extLst>
            <a:ext uri="{FF2B5EF4-FFF2-40B4-BE49-F238E27FC236}">
              <a16:creationId xmlns:a16="http://schemas.microsoft.com/office/drawing/2014/main" id="{00000000-0008-0000-0200-00002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3" name="Rectangle 76">
          <a:extLst>
            <a:ext uri="{FF2B5EF4-FFF2-40B4-BE49-F238E27FC236}">
              <a16:creationId xmlns:a16="http://schemas.microsoft.com/office/drawing/2014/main" id="{00000000-0008-0000-0200-00002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4" name="Rectangle 77">
          <a:extLst>
            <a:ext uri="{FF2B5EF4-FFF2-40B4-BE49-F238E27FC236}">
              <a16:creationId xmlns:a16="http://schemas.microsoft.com/office/drawing/2014/main" id="{00000000-0008-0000-0200-00002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5" name="Rectangle 78">
          <a:extLst>
            <a:ext uri="{FF2B5EF4-FFF2-40B4-BE49-F238E27FC236}">
              <a16:creationId xmlns:a16="http://schemas.microsoft.com/office/drawing/2014/main" id="{00000000-0008-0000-0200-00002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6" name="Rectangle 79">
          <a:extLst>
            <a:ext uri="{FF2B5EF4-FFF2-40B4-BE49-F238E27FC236}">
              <a16:creationId xmlns:a16="http://schemas.microsoft.com/office/drawing/2014/main" id="{00000000-0008-0000-0200-00002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7" name="Rectangle 80">
          <a:extLst>
            <a:ext uri="{FF2B5EF4-FFF2-40B4-BE49-F238E27FC236}">
              <a16:creationId xmlns:a16="http://schemas.microsoft.com/office/drawing/2014/main" id="{00000000-0008-0000-0200-00002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8" name="Rectangle 81">
          <a:extLst>
            <a:ext uri="{FF2B5EF4-FFF2-40B4-BE49-F238E27FC236}">
              <a16:creationId xmlns:a16="http://schemas.microsoft.com/office/drawing/2014/main" id="{00000000-0008-0000-0200-00002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59" name="Rectangle 82">
          <a:extLst>
            <a:ext uri="{FF2B5EF4-FFF2-40B4-BE49-F238E27FC236}">
              <a16:creationId xmlns:a16="http://schemas.microsoft.com/office/drawing/2014/main" id="{00000000-0008-0000-0200-00002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60" name="Rectangle 83">
          <a:extLst>
            <a:ext uri="{FF2B5EF4-FFF2-40B4-BE49-F238E27FC236}">
              <a16:creationId xmlns:a16="http://schemas.microsoft.com/office/drawing/2014/main" id="{00000000-0008-0000-0200-00003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61" name="Rectangle 84">
          <a:extLst>
            <a:ext uri="{FF2B5EF4-FFF2-40B4-BE49-F238E27FC236}">
              <a16:creationId xmlns:a16="http://schemas.microsoft.com/office/drawing/2014/main" id="{00000000-0008-0000-0200-00003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507" name="Texto 10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SpPr txBox="1">
          <a:spLocks noChangeArrowheads="1"/>
        </xdr:cNvSpPr>
      </xdr:nvSpPr>
      <xdr:spPr bwMode="auto">
        <a:xfrm>
          <a:off x="38100" y="46691550"/>
          <a:ext cx="228600" cy="5524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GERAL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508" name="Texto 23">
          <a:extLst>
            <a:ext uri="{FF2B5EF4-FFF2-40B4-BE49-F238E27FC236}">
              <a16:creationId xmlns:a16="http://schemas.microsoft.com/office/drawing/2014/main" id="{00000000-0008-0000-0200-0000FC010000}"/>
            </a:ext>
          </a:extLst>
        </xdr:cNvPr>
        <xdr:cNvSpPr txBox="1">
          <a:spLocks noChangeArrowheads="1"/>
        </xdr:cNvSpPr>
      </xdr:nvSpPr>
      <xdr:spPr bwMode="auto">
        <a:xfrm>
          <a:off x="57150" y="48291750"/>
          <a:ext cx="219075" cy="10382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ACESSÓRIOS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64" name="Rectangle 3">
          <a:extLst>
            <a:ext uri="{FF2B5EF4-FFF2-40B4-BE49-F238E27FC236}">
              <a16:creationId xmlns:a16="http://schemas.microsoft.com/office/drawing/2014/main" id="{00000000-0008-0000-0200-00003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65" name="Rectangle 4">
          <a:extLst>
            <a:ext uri="{FF2B5EF4-FFF2-40B4-BE49-F238E27FC236}">
              <a16:creationId xmlns:a16="http://schemas.microsoft.com/office/drawing/2014/main" id="{00000000-0008-0000-0200-00003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66" name="Rectangle 5">
          <a:extLst>
            <a:ext uri="{FF2B5EF4-FFF2-40B4-BE49-F238E27FC236}">
              <a16:creationId xmlns:a16="http://schemas.microsoft.com/office/drawing/2014/main" id="{00000000-0008-0000-0200-00003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67" name="Rectangle 6">
          <a:extLst>
            <a:ext uri="{FF2B5EF4-FFF2-40B4-BE49-F238E27FC236}">
              <a16:creationId xmlns:a16="http://schemas.microsoft.com/office/drawing/2014/main" id="{00000000-0008-0000-0200-00003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68" name="Rectangle 7">
          <a:extLst>
            <a:ext uri="{FF2B5EF4-FFF2-40B4-BE49-F238E27FC236}">
              <a16:creationId xmlns:a16="http://schemas.microsoft.com/office/drawing/2014/main" id="{00000000-0008-0000-0200-00003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69" name="Rectangle 8">
          <a:extLst>
            <a:ext uri="{FF2B5EF4-FFF2-40B4-BE49-F238E27FC236}">
              <a16:creationId xmlns:a16="http://schemas.microsoft.com/office/drawing/2014/main" id="{00000000-0008-0000-0200-00003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0" name="Rectangle 9">
          <a:extLst>
            <a:ext uri="{FF2B5EF4-FFF2-40B4-BE49-F238E27FC236}">
              <a16:creationId xmlns:a16="http://schemas.microsoft.com/office/drawing/2014/main" id="{00000000-0008-0000-0200-00003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1" name="Rectangle 10">
          <a:extLst>
            <a:ext uri="{FF2B5EF4-FFF2-40B4-BE49-F238E27FC236}">
              <a16:creationId xmlns:a16="http://schemas.microsoft.com/office/drawing/2014/main" id="{00000000-0008-0000-0200-00003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2" name="Rectangle 11">
          <a:extLst>
            <a:ext uri="{FF2B5EF4-FFF2-40B4-BE49-F238E27FC236}">
              <a16:creationId xmlns:a16="http://schemas.microsoft.com/office/drawing/2014/main" id="{00000000-0008-0000-0200-00003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3" name="Rectangle 12">
          <a:extLst>
            <a:ext uri="{FF2B5EF4-FFF2-40B4-BE49-F238E27FC236}">
              <a16:creationId xmlns:a16="http://schemas.microsoft.com/office/drawing/2014/main" id="{00000000-0008-0000-0200-00003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4" name="Rectangle 13">
          <a:extLst>
            <a:ext uri="{FF2B5EF4-FFF2-40B4-BE49-F238E27FC236}">
              <a16:creationId xmlns:a16="http://schemas.microsoft.com/office/drawing/2014/main" id="{00000000-0008-0000-0200-00003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5" name="Rectangle 14">
          <a:extLst>
            <a:ext uri="{FF2B5EF4-FFF2-40B4-BE49-F238E27FC236}">
              <a16:creationId xmlns:a16="http://schemas.microsoft.com/office/drawing/2014/main" id="{00000000-0008-0000-0200-00003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6" name="Rectangle 15">
          <a:extLst>
            <a:ext uri="{FF2B5EF4-FFF2-40B4-BE49-F238E27FC236}">
              <a16:creationId xmlns:a16="http://schemas.microsoft.com/office/drawing/2014/main" id="{00000000-0008-0000-0200-00004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7" name="Rectangle 16">
          <a:extLst>
            <a:ext uri="{FF2B5EF4-FFF2-40B4-BE49-F238E27FC236}">
              <a16:creationId xmlns:a16="http://schemas.microsoft.com/office/drawing/2014/main" id="{00000000-0008-0000-0200-00004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8" name="Rectangle 17">
          <a:extLst>
            <a:ext uri="{FF2B5EF4-FFF2-40B4-BE49-F238E27FC236}">
              <a16:creationId xmlns:a16="http://schemas.microsoft.com/office/drawing/2014/main" id="{00000000-0008-0000-0200-00004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79" name="Rectangle 18">
          <a:extLst>
            <a:ext uri="{FF2B5EF4-FFF2-40B4-BE49-F238E27FC236}">
              <a16:creationId xmlns:a16="http://schemas.microsoft.com/office/drawing/2014/main" id="{00000000-0008-0000-0200-00004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0" name="Rectangle 19">
          <a:extLst>
            <a:ext uri="{FF2B5EF4-FFF2-40B4-BE49-F238E27FC236}">
              <a16:creationId xmlns:a16="http://schemas.microsoft.com/office/drawing/2014/main" id="{00000000-0008-0000-0200-00004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1" name="Rectangle 20">
          <a:extLst>
            <a:ext uri="{FF2B5EF4-FFF2-40B4-BE49-F238E27FC236}">
              <a16:creationId xmlns:a16="http://schemas.microsoft.com/office/drawing/2014/main" id="{00000000-0008-0000-0200-00004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2" name="Rectangle 21">
          <a:extLst>
            <a:ext uri="{FF2B5EF4-FFF2-40B4-BE49-F238E27FC236}">
              <a16:creationId xmlns:a16="http://schemas.microsoft.com/office/drawing/2014/main" id="{00000000-0008-0000-0200-00004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3" name="Rectangle 22">
          <a:extLst>
            <a:ext uri="{FF2B5EF4-FFF2-40B4-BE49-F238E27FC236}">
              <a16:creationId xmlns:a16="http://schemas.microsoft.com/office/drawing/2014/main" id="{00000000-0008-0000-0200-00004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4" name="Rectangle 23">
          <a:extLst>
            <a:ext uri="{FF2B5EF4-FFF2-40B4-BE49-F238E27FC236}">
              <a16:creationId xmlns:a16="http://schemas.microsoft.com/office/drawing/2014/main" id="{00000000-0008-0000-0200-00004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5" name="Rectangle 24">
          <a:extLst>
            <a:ext uri="{FF2B5EF4-FFF2-40B4-BE49-F238E27FC236}">
              <a16:creationId xmlns:a16="http://schemas.microsoft.com/office/drawing/2014/main" id="{00000000-0008-0000-0200-00004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6" name="Rectangle 26">
          <a:extLst>
            <a:ext uri="{FF2B5EF4-FFF2-40B4-BE49-F238E27FC236}">
              <a16:creationId xmlns:a16="http://schemas.microsoft.com/office/drawing/2014/main" id="{00000000-0008-0000-0200-00004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7" name="Rectangle 27">
          <a:extLst>
            <a:ext uri="{FF2B5EF4-FFF2-40B4-BE49-F238E27FC236}">
              <a16:creationId xmlns:a16="http://schemas.microsoft.com/office/drawing/2014/main" id="{00000000-0008-0000-0200-00004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8" name="Rectangle 28">
          <a:extLst>
            <a:ext uri="{FF2B5EF4-FFF2-40B4-BE49-F238E27FC236}">
              <a16:creationId xmlns:a16="http://schemas.microsoft.com/office/drawing/2014/main" id="{00000000-0008-0000-0200-00004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89" name="Rectangle 29">
          <a:extLst>
            <a:ext uri="{FF2B5EF4-FFF2-40B4-BE49-F238E27FC236}">
              <a16:creationId xmlns:a16="http://schemas.microsoft.com/office/drawing/2014/main" id="{00000000-0008-0000-0200-00004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0" name="Rectangle 30">
          <a:extLst>
            <a:ext uri="{FF2B5EF4-FFF2-40B4-BE49-F238E27FC236}">
              <a16:creationId xmlns:a16="http://schemas.microsoft.com/office/drawing/2014/main" id="{00000000-0008-0000-0200-00004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1" name="Rectangle 31">
          <a:extLst>
            <a:ext uri="{FF2B5EF4-FFF2-40B4-BE49-F238E27FC236}">
              <a16:creationId xmlns:a16="http://schemas.microsoft.com/office/drawing/2014/main" id="{00000000-0008-0000-0200-00004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2" name="Rectangle 32">
          <a:extLst>
            <a:ext uri="{FF2B5EF4-FFF2-40B4-BE49-F238E27FC236}">
              <a16:creationId xmlns:a16="http://schemas.microsoft.com/office/drawing/2014/main" id="{00000000-0008-0000-0200-00005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3" name="Rectangle 33">
          <a:extLst>
            <a:ext uri="{FF2B5EF4-FFF2-40B4-BE49-F238E27FC236}">
              <a16:creationId xmlns:a16="http://schemas.microsoft.com/office/drawing/2014/main" id="{00000000-0008-0000-0200-00005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4" name="Rectangle 34">
          <a:extLst>
            <a:ext uri="{FF2B5EF4-FFF2-40B4-BE49-F238E27FC236}">
              <a16:creationId xmlns:a16="http://schemas.microsoft.com/office/drawing/2014/main" id="{00000000-0008-0000-0200-00005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5" name="Rectangle 35">
          <a:extLst>
            <a:ext uri="{FF2B5EF4-FFF2-40B4-BE49-F238E27FC236}">
              <a16:creationId xmlns:a16="http://schemas.microsoft.com/office/drawing/2014/main" id="{00000000-0008-0000-0200-00005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6" name="Rectangle 36">
          <a:extLst>
            <a:ext uri="{FF2B5EF4-FFF2-40B4-BE49-F238E27FC236}">
              <a16:creationId xmlns:a16="http://schemas.microsoft.com/office/drawing/2014/main" id="{00000000-0008-0000-0200-00005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7" name="Rectangle 37">
          <a:extLst>
            <a:ext uri="{FF2B5EF4-FFF2-40B4-BE49-F238E27FC236}">
              <a16:creationId xmlns:a16="http://schemas.microsoft.com/office/drawing/2014/main" id="{00000000-0008-0000-0200-00005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8" name="Rectangle 38">
          <a:extLst>
            <a:ext uri="{FF2B5EF4-FFF2-40B4-BE49-F238E27FC236}">
              <a16:creationId xmlns:a16="http://schemas.microsoft.com/office/drawing/2014/main" id="{00000000-0008-0000-0200-00005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599" name="Rectangle 39">
          <a:extLst>
            <a:ext uri="{FF2B5EF4-FFF2-40B4-BE49-F238E27FC236}">
              <a16:creationId xmlns:a16="http://schemas.microsoft.com/office/drawing/2014/main" id="{00000000-0008-0000-0200-00005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0" name="Rectangle 40">
          <a:extLst>
            <a:ext uri="{FF2B5EF4-FFF2-40B4-BE49-F238E27FC236}">
              <a16:creationId xmlns:a16="http://schemas.microsoft.com/office/drawing/2014/main" id="{00000000-0008-0000-0200-00005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1" name="Rectangle 41">
          <a:extLst>
            <a:ext uri="{FF2B5EF4-FFF2-40B4-BE49-F238E27FC236}">
              <a16:creationId xmlns:a16="http://schemas.microsoft.com/office/drawing/2014/main" id="{00000000-0008-0000-0200-00005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2" name="Rectangle 42">
          <a:extLst>
            <a:ext uri="{FF2B5EF4-FFF2-40B4-BE49-F238E27FC236}">
              <a16:creationId xmlns:a16="http://schemas.microsoft.com/office/drawing/2014/main" id="{00000000-0008-0000-0200-00005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3" name="Rectangle 43">
          <a:extLst>
            <a:ext uri="{FF2B5EF4-FFF2-40B4-BE49-F238E27FC236}">
              <a16:creationId xmlns:a16="http://schemas.microsoft.com/office/drawing/2014/main" id="{00000000-0008-0000-0200-00005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4" name="Rectangle 44">
          <a:extLst>
            <a:ext uri="{FF2B5EF4-FFF2-40B4-BE49-F238E27FC236}">
              <a16:creationId xmlns:a16="http://schemas.microsoft.com/office/drawing/2014/main" id="{00000000-0008-0000-0200-00005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5" name="Rectangle 45">
          <a:extLst>
            <a:ext uri="{FF2B5EF4-FFF2-40B4-BE49-F238E27FC236}">
              <a16:creationId xmlns:a16="http://schemas.microsoft.com/office/drawing/2014/main" id="{00000000-0008-0000-0200-00005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6" name="Rectangle 46">
          <a:extLst>
            <a:ext uri="{FF2B5EF4-FFF2-40B4-BE49-F238E27FC236}">
              <a16:creationId xmlns:a16="http://schemas.microsoft.com/office/drawing/2014/main" id="{00000000-0008-0000-0200-00005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7" name="Rectangle 47">
          <a:extLst>
            <a:ext uri="{FF2B5EF4-FFF2-40B4-BE49-F238E27FC236}">
              <a16:creationId xmlns:a16="http://schemas.microsoft.com/office/drawing/2014/main" id="{00000000-0008-0000-0200-00005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8" name="Rectangle 48">
          <a:extLst>
            <a:ext uri="{FF2B5EF4-FFF2-40B4-BE49-F238E27FC236}">
              <a16:creationId xmlns:a16="http://schemas.microsoft.com/office/drawing/2014/main" id="{00000000-0008-0000-0200-00006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09" name="Rectangle 49">
          <a:extLst>
            <a:ext uri="{FF2B5EF4-FFF2-40B4-BE49-F238E27FC236}">
              <a16:creationId xmlns:a16="http://schemas.microsoft.com/office/drawing/2014/main" id="{00000000-0008-0000-0200-00006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10" name="Rectangle 50">
          <a:extLst>
            <a:ext uri="{FF2B5EF4-FFF2-40B4-BE49-F238E27FC236}">
              <a16:creationId xmlns:a16="http://schemas.microsoft.com/office/drawing/2014/main" id="{00000000-0008-0000-0200-00006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556" name="Texto 190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>
          <a:spLocks noChangeArrowheads="1"/>
        </xdr:cNvSpPr>
      </xdr:nvSpPr>
      <xdr:spPr bwMode="auto">
        <a:xfrm>
          <a:off x="28575" y="50406300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557" name="Texto 192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>
          <a:spLocks noChangeArrowheads="1"/>
        </xdr:cNvSpPr>
      </xdr:nvSpPr>
      <xdr:spPr bwMode="auto">
        <a:xfrm>
          <a:off x="28575" y="52520850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13" name="Rectangle 53">
          <a:extLst>
            <a:ext uri="{FF2B5EF4-FFF2-40B4-BE49-F238E27FC236}">
              <a16:creationId xmlns:a16="http://schemas.microsoft.com/office/drawing/2014/main" id="{00000000-0008-0000-0200-00006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14" name="Rectangle 54">
          <a:extLst>
            <a:ext uri="{FF2B5EF4-FFF2-40B4-BE49-F238E27FC236}">
              <a16:creationId xmlns:a16="http://schemas.microsoft.com/office/drawing/2014/main" id="{00000000-0008-0000-0200-00006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15" name="Rectangle 55">
          <a:extLst>
            <a:ext uri="{FF2B5EF4-FFF2-40B4-BE49-F238E27FC236}">
              <a16:creationId xmlns:a16="http://schemas.microsoft.com/office/drawing/2014/main" id="{00000000-0008-0000-0200-00006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16" name="Rectangle 56">
          <a:extLst>
            <a:ext uri="{FF2B5EF4-FFF2-40B4-BE49-F238E27FC236}">
              <a16:creationId xmlns:a16="http://schemas.microsoft.com/office/drawing/2014/main" id="{00000000-0008-0000-0200-00006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17" name="Rectangle 57">
          <a:extLst>
            <a:ext uri="{FF2B5EF4-FFF2-40B4-BE49-F238E27FC236}">
              <a16:creationId xmlns:a16="http://schemas.microsoft.com/office/drawing/2014/main" id="{00000000-0008-0000-0200-00006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18" name="Rectangle 58">
          <a:extLst>
            <a:ext uri="{FF2B5EF4-FFF2-40B4-BE49-F238E27FC236}">
              <a16:creationId xmlns:a16="http://schemas.microsoft.com/office/drawing/2014/main" id="{00000000-0008-0000-0200-00006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19" name="Rectangle 59">
          <a:extLst>
            <a:ext uri="{FF2B5EF4-FFF2-40B4-BE49-F238E27FC236}">
              <a16:creationId xmlns:a16="http://schemas.microsoft.com/office/drawing/2014/main" id="{00000000-0008-0000-0200-00006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0" name="Rectangle 60">
          <a:extLst>
            <a:ext uri="{FF2B5EF4-FFF2-40B4-BE49-F238E27FC236}">
              <a16:creationId xmlns:a16="http://schemas.microsoft.com/office/drawing/2014/main" id="{00000000-0008-0000-0200-00006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1" name="Rectangle 61">
          <a:extLst>
            <a:ext uri="{FF2B5EF4-FFF2-40B4-BE49-F238E27FC236}">
              <a16:creationId xmlns:a16="http://schemas.microsoft.com/office/drawing/2014/main" id="{00000000-0008-0000-0200-00006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2" name="Rectangle 62">
          <a:extLst>
            <a:ext uri="{FF2B5EF4-FFF2-40B4-BE49-F238E27FC236}">
              <a16:creationId xmlns:a16="http://schemas.microsoft.com/office/drawing/2014/main" id="{00000000-0008-0000-0200-00006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3" name="Rectangle 63">
          <a:extLst>
            <a:ext uri="{FF2B5EF4-FFF2-40B4-BE49-F238E27FC236}">
              <a16:creationId xmlns:a16="http://schemas.microsoft.com/office/drawing/2014/main" id="{00000000-0008-0000-0200-00006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4" name="Rectangle 64">
          <a:extLst>
            <a:ext uri="{FF2B5EF4-FFF2-40B4-BE49-F238E27FC236}">
              <a16:creationId xmlns:a16="http://schemas.microsoft.com/office/drawing/2014/main" id="{00000000-0008-0000-0200-00007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5" name="Rectangle 65">
          <a:extLst>
            <a:ext uri="{FF2B5EF4-FFF2-40B4-BE49-F238E27FC236}">
              <a16:creationId xmlns:a16="http://schemas.microsoft.com/office/drawing/2014/main" id="{00000000-0008-0000-0200-00007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6" name="Rectangle 66">
          <a:extLst>
            <a:ext uri="{FF2B5EF4-FFF2-40B4-BE49-F238E27FC236}">
              <a16:creationId xmlns:a16="http://schemas.microsoft.com/office/drawing/2014/main" id="{00000000-0008-0000-0200-00007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7" name="Rectangle 67">
          <a:extLst>
            <a:ext uri="{FF2B5EF4-FFF2-40B4-BE49-F238E27FC236}">
              <a16:creationId xmlns:a16="http://schemas.microsoft.com/office/drawing/2014/main" id="{00000000-0008-0000-0200-00007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8" name="Rectangle 68">
          <a:extLst>
            <a:ext uri="{FF2B5EF4-FFF2-40B4-BE49-F238E27FC236}">
              <a16:creationId xmlns:a16="http://schemas.microsoft.com/office/drawing/2014/main" id="{00000000-0008-0000-0200-00007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29" name="Rectangle 69">
          <a:extLst>
            <a:ext uri="{FF2B5EF4-FFF2-40B4-BE49-F238E27FC236}">
              <a16:creationId xmlns:a16="http://schemas.microsoft.com/office/drawing/2014/main" id="{00000000-0008-0000-0200-00007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0" name="Rectangle 70">
          <a:extLst>
            <a:ext uri="{FF2B5EF4-FFF2-40B4-BE49-F238E27FC236}">
              <a16:creationId xmlns:a16="http://schemas.microsoft.com/office/drawing/2014/main" id="{00000000-0008-0000-0200-00007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1" name="Rectangle 71">
          <a:extLst>
            <a:ext uri="{FF2B5EF4-FFF2-40B4-BE49-F238E27FC236}">
              <a16:creationId xmlns:a16="http://schemas.microsoft.com/office/drawing/2014/main" id="{00000000-0008-0000-0200-00007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2" name="Rectangle 72">
          <a:extLst>
            <a:ext uri="{FF2B5EF4-FFF2-40B4-BE49-F238E27FC236}">
              <a16:creationId xmlns:a16="http://schemas.microsoft.com/office/drawing/2014/main" id="{00000000-0008-0000-0200-00007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3" name="Rectangle 73">
          <a:extLst>
            <a:ext uri="{FF2B5EF4-FFF2-40B4-BE49-F238E27FC236}">
              <a16:creationId xmlns:a16="http://schemas.microsoft.com/office/drawing/2014/main" id="{00000000-0008-0000-0200-00007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4" name="Rectangle 74">
          <a:extLst>
            <a:ext uri="{FF2B5EF4-FFF2-40B4-BE49-F238E27FC236}">
              <a16:creationId xmlns:a16="http://schemas.microsoft.com/office/drawing/2014/main" id="{00000000-0008-0000-0200-00007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5" name="Rectangle 75">
          <a:extLst>
            <a:ext uri="{FF2B5EF4-FFF2-40B4-BE49-F238E27FC236}">
              <a16:creationId xmlns:a16="http://schemas.microsoft.com/office/drawing/2014/main" id="{00000000-0008-0000-0200-00007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6" name="Rectangle 76">
          <a:extLst>
            <a:ext uri="{FF2B5EF4-FFF2-40B4-BE49-F238E27FC236}">
              <a16:creationId xmlns:a16="http://schemas.microsoft.com/office/drawing/2014/main" id="{00000000-0008-0000-0200-00007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7" name="Rectangle 77">
          <a:extLst>
            <a:ext uri="{FF2B5EF4-FFF2-40B4-BE49-F238E27FC236}">
              <a16:creationId xmlns:a16="http://schemas.microsoft.com/office/drawing/2014/main" id="{00000000-0008-0000-0200-00007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8" name="Rectangle 78">
          <a:extLst>
            <a:ext uri="{FF2B5EF4-FFF2-40B4-BE49-F238E27FC236}">
              <a16:creationId xmlns:a16="http://schemas.microsoft.com/office/drawing/2014/main" id="{00000000-0008-0000-0200-00007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39" name="Rectangle 79">
          <a:extLst>
            <a:ext uri="{FF2B5EF4-FFF2-40B4-BE49-F238E27FC236}">
              <a16:creationId xmlns:a16="http://schemas.microsoft.com/office/drawing/2014/main" id="{00000000-0008-0000-0200-00007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40" name="Rectangle 80">
          <a:extLst>
            <a:ext uri="{FF2B5EF4-FFF2-40B4-BE49-F238E27FC236}">
              <a16:creationId xmlns:a16="http://schemas.microsoft.com/office/drawing/2014/main" id="{00000000-0008-0000-0200-00008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41" name="Rectangle 81">
          <a:extLst>
            <a:ext uri="{FF2B5EF4-FFF2-40B4-BE49-F238E27FC236}">
              <a16:creationId xmlns:a16="http://schemas.microsoft.com/office/drawing/2014/main" id="{00000000-0008-0000-0200-00008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42" name="Rectangle 82">
          <a:extLst>
            <a:ext uri="{FF2B5EF4-FFF2-40B4-BE49-F238E27FC236}">
              <a16:creationId xmlns:a16="http://schemas.microsoft.com/office/drawing/2014/main" id="{00000000-0008-0000-0200-00008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43" name="Rectangle 83">
          <a:extLst>
            <a:ext uri="{FF2B5EF4-FFF2-40B4-BE49-F238E27FC236}">
              <a16:creationId xmlns:a16="http://schemas.microsoft.com/office/drawing/2014/main" id="{00000000-0008-0000-0200-00008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44" name="Rectangle 84">
          <a:extLst>
            <a:ext uri="{FF2B5EF4-FFF2-40B4-BE49-F238E27FC236}">
              <a16:creationId xmlns:a16="http://schemas.microsoft.com/office/drawing/2014/main" id="{00000000-0008-0000-0200-00008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591" name="Texto 10">
          <a:extLst>
            <a:ext uri="{FF2B5EF4-FFF2-40B4-BE49-F238E27FC236}">
              <a16:creationId xmlns:a16="http://schemas.microsoft.com/office/drawing/2014/main" id="{00000000-0008-0000-0200-00004F020000}"/>
            </a:ext>
          </a:extLst>
        </xdr:cNvPr>
        <xdr:cNvSpPr txBox="1">
          <a:spLocks noChangeArrowheads="1"/>
        </xdr:cNvSpPr>
      </xdr:nvSpPr>
      <xdr:spPr bwMode="auto">
        <a:xfrm>
          <a:off x="38100" y="46691550"/>
          <a:ext cx="228600" cy="5524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GERAL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592" name="Texto 23">
          <a:extLst>
            <a:ext uri="{FF2B5EF4-FFF2-40B4-BE49-F238E27FC236}">
              <a16:creationId xmlns:a16="http://schemas.microsoft.com/office/drawing/2014/main" id="{00000000-0008-0000-0200-000050020000}"/>
            </a:ext>
          </a:extLst>
        </xdr:cNvPr>
        <xdr:cNvSpPr txBox="1">
          <a:spLocks noChangeArrowheads="1"/>
        </xdr:cNvSpPr>
      </xdr:nvSpPr>
      <xdr:spPr bwMode="auto">
        <a:xfrm>
          <a:off x="57150" y="48291750"/>
          <a:ext cx="219075" cy="1038225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ACESSÓRIOS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47" name="Rectangle 3">
          <a:extLst>
            <a:ext uri="{FF2B5EF4-FFF2-40B4-BE49-F238E27FC236}">
              <a16:creationId xmlns:a16="http://schemas.microsoft.com/office/drawing/2014/main" id="{00000000-0008-0000-0200-00008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48" name="Rectangle 4">
          <a:extLst>
            <a:ext uri="{FF2B5EF4-FFF2-40B4-BE49-F238E27FC236}">
              <a16:creationId xmlns:a16="http://schemas.microsoft.com/office/drawing/2014/main" id="{00000000-0008-0000-0200-00008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49" name="Rectangle 5">
          <a:extLst>
            <a:ext uri="{FF2B5EF4-FFF2-40B4-BE49-F238E27FC236}">
              <a16:creationId xmlns:a16="http://schemas.microsoft.com/office/drawing/2014/main" id="{00000000-0008-0000-0200-00008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0" name="Rectangle 6">
          <a:extLst>
            <a:ext uri="{FF2B5EF4-FFF2-40B4-BE49-F238E27FC236}">
              <a16:creationId xmlns:a16="http://schemas.microsoft.com/office/drawing/2014/main" id="{00000000-0008-0000-0200-00008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1" name="Rectangle 7">
          <a:extLst>
            <a:ext uri="{FF2B5EF4-FFF2-40B4-BE49-F238E27FC236}">
              <a16:creationId xmlns:a16="http://schemas.microsoft.com/office/drawing/2014/main" id="{00000000-0008-0000-0200-00008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2" name="Rectangle 8">
          <a:extLst>
            <a:ext uri="{FF2B5EF4-FFF2-40B4-BE49-F238E27FC236}">
              <a16:creationId xmlns:a16="http://schemas.microsoft.com/office/drawing/2014/main" id="{00000000-0008-0000-0200-00008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3" name="Rectangle 9">
          <a:extLst>
            <a:ext uri="{FF2B5EF4-FFF2-40B4-BE49-F238E27FC236}">
              <a16:creationId xmlns:a16="http://schemas.microsoft.com/office/drawing/2014/main" id="{00000000-0008-0000-0200-00008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4" name="Rectangle 10">
          <a:extLst>
            <a:ext uri="{FF2B5EF4-FFF2-40B4-BE49-F238E27FC236}">
              <a16:creationId xmlns:a16="http://schemas.microsoft.com/office/drawing/2014/main" id="{00000000-0008-0000-0200-00008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5" name="Rectangle 11">
          <a:extLst>
            <a:ext uri="{FF2B5EF4-FFF2-40B4-BE49-F238E27FC236}">
              <a16:creationId xmlns:a16="http://schemas.microsoft.com/office/drawing/2014/main" id="{00000000-0008-0000-0200-00008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6" name="Rectangle 12">
          <a:extLst>
            <a:ext uri="{FF2B5EF4-FFF2-40B4-BE49-F238E27FC236}">
              <a16:creationId xmlns:a16="http://schemas.microsoft.com/office/drawing/2014/main" id="{00000000-0008-0000-0200-00009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7" name="Rectangle 13">
          <a:extLst>
            <a:ext uri="{FF2B5EF4-FFF2-40B4-BE49-F238E27FC236}">
              <a16:creationId xmlns:a16="http://schemas.microsoft.com/office/drawing/2014/main" id="{00000000-0008-0000-0200-00009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8" name="Rectangle 14">
          <a:extLst>
            <a:ext uri="{FF2B5EF4-FFF2-40B4-BE49-F238E27FC236}">
              <a16:creationId xmlns:a16="http://schemas.microsoft.com/office/drawing/2014/main" id="{00000000-0008-0000-0200-00009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59" name="Rectangle 15">
          <a:extLst>
            <a:ext uri="{FF2B5EF4-FFF2-40B4-BE49-F238E27FC236}">
              <a16:creationId xmlns:a16="http://schemas.microsoft.com/office/drawing/2014/main" id="{00000000-0008-0000-0200-00009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0" name="Rectangle 16">
          <a:extLst>
            <a:ext uri="{FF2B5EF4-FFF2-40B4-BE49-F238E27FC236}">
              <a16:creationId xmlns:a16="http://schemas.microsoft.com/office/drawing/2014/main" id="{00000000-0008-0000-0200-00009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1" name="Rectangle 17">
          <a:extLst>
            <a:ext uri="{FF2B5EF4-FFF2-40B4-BE49-F238E27FC236}">
              <a16:creationId xmlns:a16="http://schemas.microsoft.com/office/drawing/2014/main" id="{00000000-0008-0000-0200-00009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2" name="Rectangle 18">
          <a:extLst>
            <a:ext uri="{FF2B5EF4-FFF2-40B4-BE49-F238E27FC236}">
              <a16:creationId xmlns:a16="http://schemas.microsoft.com/office/drawing/2014/main" id="{00000000-0008-0000-0200-00009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3" name="Rectangle 19">
          <a:extLst>
            <a:ext uri="{FF2B5EF4-FFF2-40B4-BE49-F238E27FC236}">
              <a16:creationId xmlns:a16="http://schemas.microsoft.com/office/drawing/2014/main" id="{00000000-0008-0000-0200-00009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4" name="Rectangle 20">
          <a:extLst>
            <a:ext uri="{FF2B5EF4-FFF2-40B4-BE49-F238E27FC236}">
              <a16:creationId xmlns:a16="http://schemas.microsoft.com/office/drawing/2014/main" id="{00000000-0008-0000-0200-00009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5" name="Rectangle 21">
          <a:extLst>
            <a:ext uri="{FF2B5EF4-FFF2-40B4-BE49-F238E27FC236}">
              <a16:creationId xmlns:a16="http://schemas.microsoft.com/office/drawing/2014/main" id="{00000000-0008-0000-0200-00009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6" name="Rectangle 22">
          <a:extLst>
            <a:ext uri="{FF2B5EF4-FFF2-40B4-BE49-F238E27FC236}">
              <a16:creationId xmlns:a16="http://schemas.microsoft.com/office/drawing/2014/main" id="{00000000-0008-0000-0200-00009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7" name="Rectangle 23">
          <a:extLst>
            <a:ext uri="{FF2B5EF4-FFF2-40B4-BE49-F238E27FC236}">
              <a16:creationId xmlns:a16="http://schemas.microsoft.com/office/drawing/2014/main" id="{00000000-0008-0000-0200-00009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8" name="Rectangle 24">
          <a:extLst>
            <a:ext uri="{FF2B5EF4-FFF2-40B4-BE49-F238E27FC236}">
              <a16:creationId xmlns:a16="http://schemas.microsoft.com/office/drawing/2014/main" id="{00000000-0008-0000-0200-00009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69" name="Rectangle 26">
          <a:extLst>
            <a:ext uri="{FF2B5EF4-FFF2-40B4-BE49-F238E27FC236}">
              <a16:creationId xmlns:a16="http://schemas.microsoft.com/office/drawing/2014/main" id="{00000000-0008-0000-0200-00009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0" name="Rectangle 27">
          <a:extLst>
            <a:ext uri="{FF2B5EF4-FFF2-40B4-BE49-F238E27FC236}">
              <a16:creationId xmlns:a16="http://schemas.microsoft.com/office/drawing/2014/main" id="{00000000-0008-0000-0200-00009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1" name="Rectangle 28">
          <a:extLst>
            <a:ext uri="{FF2B5EF4-FFF2-40B4-BE49-F238E27FC236}">
              <a16:creationId xmlns:a16="http://schemas.microsoft.com/office/drawing/2014/main" id="{00000000-0008-0000-0200-00009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2" name="Rectangle 29">
          <a:extLst>
            <a:ext uri="{FF2B5EF4-FFF2-40B4-BE49-F238E27FC236}">
              <a16:creationId xmlns:a16="http://schemas.microsoft.com/office/drawing/2014/main" id="{00000000-0008-0000-0200-0000A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3" name="Rectangle 30">
          <a:extLst>
            <a:ext uri="{FF2B5EF4-FFF2-40B4-BE49-F238E27FC236}">
              <a16:creationId xmlns:a16="http://schemas.microsoft.com/office/drawing/2014/main" id="{00000000-0008-0000-0200-0000A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4" name="Rectangle 31">
          <a:extLst>
            <a:ext uri="{FF2B5EF4-FFF2-40B4-BE49-F238E27FC236}">
              <a16:creationId xmlns:a16="http://schemas.microsoft.com/office/drawing/2014/main" id="{00000000-0008-0000-0200-0000A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5" name="Rectangle 32">
          <a:extLst>
            <a:ext uri="{FF2B5EF4-FFF2-40B4-BE49-F238E27FC236}">
              <a16:creationId xmlns:a16="http://schemas.microsoft.com/office/drawing/2014/main" id="{00000000-0008-0000-0200-0000A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6" name="Rectangle 33">
          <a:extLst>
            <a:ext uri="{FF2B5EF4-FFF2-40B4-BE49-F238E27FC236}">
              <a16:creationId xmlns:a16="http://schemas.microsoft.com/office/drawing/2014/main" id="{00000000-0008-0000-0200-0000A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7" name="Rectangle 34">
          <a:extLst>
            <a:ext uri="{FF2B5EF4-FFF2-40B4-BE49-F238E27FC236}">
              <a16:creationId xmlns:a16="http://schemas.microsoft.com/office/drawing/2014/main" id="{00000000-0008-0000-0200-0000A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8" name="Rectangle 35">
          <a:extLst>
            <a:ext uri="{FF2B5EF4-FFF2-40B4-BE49-F238E27FC236}">
              <a16:creationId xmlns:a16="http://schemas.microsoft.com/office/drawing/2014/main" id="{00000000-0008-0000-0200-0000A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79" name="Rectangle 36">
          <a:extLst>
            <a:ext uri="{FF2B5EF4-FFF2-40B4-BE49-F238E27FC236}">
              <a16:creationId xmlns:a16="http://schemas.microsoft.com/office/drawing/2014/main" id="{00000000-0008-0000-0200-0000A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0" name="Rectangle 37">
          <a:extLst>
            <a:ext uri="{FF2B5EF4-FFF2-40B4-BE49-F238E27FC236}">
              <a16:creationId xmlns:a16="http://schemas.microsoft.com/office/drawing/2014/main" id="{00000000-0008-0000-0200-0000A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1" name="Rectangle 38">
          <a:extLst>
            <a:ext uri="{FF2B5EF4-FFF2-40B4-BE49-F238E27FC236}">
              <a16:creationId xmlns:a16="http://schemas.microsoft.com/office/drawing/2014/main" id="{00000000-0008-0000-0200-0000A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2" name="Rectangle 39">
          <a:extLst>
            <a:ext uri="{FF2B5EF4-FFF2-40B4-BE49-F238E27FC236}">
              <a16:creationId xmlns:a16="http://schemas.microsoft.com/office/drawing/2014/main" id="{00000000-0008-0000-0200-0000A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3" name="Rectangle 40">
          <a:extLst>
            <a:ext uri="{FF2B5EF4-FFF2-40B4-BE49-F238E27FC236}">
              <a16:creationId xmlns:a16="http://schemas.microsoft.com/office/drawing/2014/main" id="{00000000-0008-0000-0200-0000A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4" name="Rectangle 41">
          <a:extLst>
            <a:ext uri="{FF2B5EF4-FFF2-40B4-BE49-F238E27FC236}">
              <a16:creationId xmlns:a16="http://schemas.microsoft.com/office/drawing/2014/main" id="{00000000-0008-0000-0200-0000A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5" name="Rectangle 42">
          <a:extLst>
            <a:ext uri="{FF2B5EF4-FFF2-40B4-BE49-F238E27FC236}">
              <a16:creationId xmlns:a16="http://schemas.microsoft.com/office/drawing/2014/main" id="{00000000-0008-0000-0200-0000A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6" name="Rectangle 43">
          <a:extLst>
            <a:ext uri="{FF2B5EF4-FFF2-40B4-BE49-F238E27FC236}">
              <a16:creationId xmlns:a16="http://schemas.microsoft.com/office/drawing/2014/main" id="{00000000-0008-0000-0200-0000A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7" name="Rectangle 44">
          <a:extLst>
            <a:ext uri="{FF2B5EF4-FFF2-40B4-BE49-F238E27FC236}">
              <a16:creationId xmlns:a16="http://schemas.microsoft.com/office/drawing/2014/main" id="{00000000-0008-0000-0200-0000A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8" name="Rectangle 45">
          <a:extLst>
            <a:ext uri="{FF2B5EF4-FFF2-40B4-BE49-F238E27FC236}">
              <a16:creationId xmlns:a16="http://schemas.microsoft.com/office/drawing/2014/main" id="{00000000-0008-0000-0200-0000B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89" name="Rectangle 46">
          <a:extLst>
            <a:ext uri="{FF2B5EF4-FFF2-40B4-BE49-F238E27FC236}">
              <a16:creationId xmlns:a16="http://schemas.microsoft.com/office/drawing/2014/main" id="{00000000-0008-0000-0200-0000B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90" name="Rectangle 47">
          <a:extLst>
            <a:ext uri="{FF2B5EF4-FFF2-40B4-BE49-F238E27FC236}">
              <a16:creationId xmlns:a16="http://schemas.microsoft.com/office/drawing/2014/main" id="{00000000-0008-0000-0200-0000B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91" name="Rectangle 48">
          <a:extLst>
            <a:ext uri="{FF2B5EF4-FFF2-40B4-BE49-F238E27FC236}">
              <a16:creationId xmlns:a16="http://schemas.microsoft.com/office/drawing/2014/main" id="{00000000-0008-0000-0200-0000B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92" name="Rectangle 49">
          <a:extLst>
            <a:ext uri="{FF2B5EF4-FFF2-40B4-BE49-F238E27FC236}">
              <a16:creationId xmlns:a16="http://schemas.microsoft.com/office/drawing/2014/main" id="{00000000-0008-0000-0200-0000B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93" name="Rectangle 50">
          <a:extLst>
            <a:ext uri="{FF2B5EF4-FFF2-40B4-BE49-F238E27FC236}">
              <a16:creationId xmlns:a16="http://schemas.microsoft.com/office/drawing/2014/main" id="{00000000-0008-0000-0200-0000B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640" name="Texto 190">
          <a:extLst>
            <a:ext uri="{FF2B5EF4-FFF2-40B4-BE49-F238E27FC236}">
              <a16:creationId xmlns:a16="http://schemas.microsoft.com/office/drawing/2014/main" id="{00000000-0008-0000-0200-000080020000}"/>
            </a:ext>
          </a:extLst>
        </xdr:cNvPr>
        <xdr:cNvSpPr txBox="1">
          <a:spLocks noChangeArrowheads="1"/>
        </xdr:cNvSpPr>
      </xdr:nvSpPr>
      <xdr:spPr bwMode="auto">
        <a:xfrm>
          <a:off x="28575" y="50406300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641" name="Texto 192">
          <a:extLst>
            <a:ext uri="{FF2B5EF4-FFF2-40B4-BE49-F238E27FC236}">
              <a16:creationId xmlns:a16="http://schemas.microsoft.com/office/drawing/2014/main" id="{00000000-0008-0000-0200-000081020000}"/>
            </a:ext>
          </a:extLst>
        </xdr:cNvPr>
        <xdr:cNvSpPr txBox="1">
          <a:spLocks noChangeArrowheads="1"/>
        </xdr:cNvSpPr>
      </xdr:nvSpPr>
      <xdr:spPr bwMode="auto">
        <a:xfrm>
          <a:off x="28575" y="52520850"/>
          <a:ext cx="228600" cy="914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pt-BR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CONDIÇÕES DE OPERAÇÃO</a:t>
          </a:r>
        </a:p>
      </xdr:txBody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96" name="Rectangle 53">
          <a:extLst>
            <a:ext uri="{FF2B5EF4-FFF2-40B4-BE49-F238E27FC236}">
              <a16:creationId xmlns:a16="http://schemas.microsoft.com/office/drawing/2014/main" id="{00000000-0008-0000-0200-0000B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97" name="Rectangle 54">
          <a:extLst>
            <a:ext uri="{FF2B5EF4-FFF2-40B4-BE49-F238E27FC236}">
              <a16:creationId xmlns:a16="http://schemas.microsoft.com/office/drawing/2014/main" id="{00000000-0008-0000-0200-0000B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98" name="Rectangle 55">
          <a:extLst>
            <a:ext uri="{FF2B5EF4-FFF2-40B4-BE49-F238E27FC236}">
              <a16:creationId xmlns:a16="http://schemas.microsoft.com/office/drawing/2014/main" id="{00000000-0008-0000-0200-0000B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699" name="Rectangle 56">
          <a:extLst>
            <a:ext uri="{FF2B5EF4-FFF2-40B4-BE49-F238E27FC236}">
              <a16:creationId xmlns:a16="http://schemas.microsoft.com/office/drawing/2014/main" id="{00000000-0008-0000-0200-0000B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0" name="Rectangle 57">
          <a:extLst>
            <a:ext uri="{FF2B5EF4-FFF2-40B4-BE49-F238E27FC236}">
              <a16:creationId xmlns:a16="http://schemas.microsoft.com/office/drawing/2014/main" id="{00000000-0008-0000-0200-0000B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1" name="Rectangle 58">
          <a:extLst>
            <a:ext uri="{FF2B5EF4-FFF2-40B4-BE49-F238E27FC236}">
              <a16:creationId xmlns:a16="http://schemas.microsoft.com/office/drawing/2014/main" id="{00000000-0008-0000-0200-0000B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2" name="Rectangle 59">
          <a:extLst>
            <a:ext uri="{FF2B5EF4-FFF2-40B4-BE49-F238E27FC236}">
              <a16:creationId xmlns:a16="http://schemas.microsoft.com/office/drawing/2014/main" id="{00000000-0008-0000-0200-0000B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3" name="Rectangle 60">
          <a:extLst>
            <a:ext uri="{FF2B5EF4-FFF2-40B4-BE49-F238E27FC236}">
              <a16:creationId xmlns:a16="http://schemas.microsoft.com/office/drawing/2014/main" id="{00000000-0008-0000-0200-0000B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4" name="Rectangle 61">
          <a:extLst>
            <a:ext uri="{FF2B5EF4-FFF2-40B4-BE49-F238E27FC236}">
              <a16:creationId xmlns:a16="http://schemas.microsoft.com/office/drawing/2014/main" id="{00000000-0008-0000-0200-0000C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5" name="Rectangle 62">
          <a:extLst>
            <a:ext uri="{FF2B5EF4-FFF2-40B4-BE49-F238E27FC236}">
              <a16:creationId xmlns:a16="http://schemas.microsoft.com/office/drawing/2014/main" id="{00000000-0008-0000-0200-0000C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6" name="Rectangle 63">
          <a:extLst>
            <a:ext uri="{FF2B5EF4-FFF2-40B4-BE49-F238E27FC236}">
              <a16:creationId xmlns:a16="http://schemas.microsoft.com/office/drawing/2014/main" id="{00000000-0008-0000-0200-0000C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7" name="Rectangle 64">
          <a:extLst>
            <a:ext uri="{FF2B5EF4-FFF2-40B4-BE49-F238E27FC236}">
              <a16:creationId xmlns:a16="http://schemas.microsoft.com/office/drawing/2014/main" id="{00000000-0008-0000-0200-0000C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8" name="Rectangle 65">
          <a:extLst>
            <a:ext uri="{FF2B5EF4-FFF2-40B4-BE49-F238E27FC236}">
              <a16:creationId xmlns:a16="http://schemas.microsoft.com/office/drawing/2014/main" id="{00000000-0008-0000-0200-0000C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09" name="Rectangle 66">
          <a:extLst>
            <a:ext uri="{FF2B5EF4-FFF2-40B4-BE49-F238E27FC236}">
              <a16:creationId xmlns:a16="http://schemas.microsoft.com/office/drawing/2014/main" id="{00000000-0008-0000-0200-0000C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0" name="Rectangle 67">
          <a:extLst>
            <a:ext uri="{FF2B5EF4-FFF2-40B4-BE49-F238E27FC236}">
              <a16:creationId xmlns:a16="http://schemas.microsoft.com/office/drawing/2014/main" id="{00000000-0008-0000-0200-0000C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1" name="Rectangle 68">
          <a:extLst>
            <a:ext uri="{FF2B5EF4-FFF2-40B4-BE49-F238E27FC236}">
              <a16:creationId xmlns:a16="http://schemas.microsoft.com/office/drawing/2014/main" id="{00000000-0008-0000-0200-0000C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2" name="Rectangle 69">
          <a:extLst>
            <a:ext uri="{FF2B5EF4-FFF2-40B4-BE49-F238E27FC236}">
              <a16:creationId xmlns:a16="http://schemas.microsoft.com/office/drawing/2014/main" id="{00000000-0008-0000-0200-0000C8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3" name="Rectangle 70">
          <a:extLst>
            <a:ext uri="{FF2B5EF4-FFF2-40B4-BE49-F238E27FC236}">
              <a16:creationId xmlns:a16="http://schemas.microsoft.com/office/drawing/2014/main" id="{00000000-0008-0000-0200-0000C9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4" name="Rectangle 71">
          <a:extLst>
            <a:ext uri="{FF2B5EF4-FFF2-40B4-BE49-F238E27FC236}">
              <a16:creationId xmlns:a16="http://schemas.microsoft.com/office/drawing/2014/main" id="{00000000-0008-0000-0200-0000CA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5" name="Rectangle 72">
          <a:extLst>
            <a:ext uri="{FF2B5EF4-FFF2-40B4-BE49-F238E27FC236}">
              <a16:creationId xmlns:a16="http://schemas.microsoft.com/office/drawing/2014/main" id="{00000000-0008-0000-0200-0000CB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6" name="Rectangle 73">
          <a:extLst>
            <a:ext uri="{FF2B5EF4-FFF2-40B4-BE49-F238E27FC236}">
              <a16:creationId xmlns:a16="http://schemas.microsoft.com/office/drawing/2014/main" id="{00000000-0008-0000-0200-0000CC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7" name="Rectangle 74">
          <a:extLst>
            <a:ext uri="{FF2B5EF4-FFF2-40B4-BE49-F238E27FC236}">
              <a16:creationId xmlns:a16="http://schemas.microsoft.com/office/drawing/2014/main" id="{00000000-0008-0000-0200-0000CD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8" name="Rectangle 75">
          <a:extLst>
            <a:ext uri="{FF2B5EF4-FFF2-40B4-BE49-F238E27FC236}">
              <a16:creationId xmlns:a16="http://schemas.microsoft.com/office/drawing/2014/main" id="{00000000-0008-0000-0200-0000CE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19" name="Rectangle 76">
          <a:extLst>
            <a:ext uri="{FF2B5EF4-FFF2-40B4-BE49-F238E27FC236}">
              <a16:creationId xmlns:a16="http://schemas.microsoft.com/office/drawing/2014/main" id="{00000000-0008-0000-0200-0000CF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20" name="Rectangle 77">
          <a:extLst>
            <a:ext uri="{FF2B5EF4-FFF2-40B4-BE49-F238E27FC236}">
              <a16:creationId xmlns:a16="http://schemas.microsoft.com/office/drawing/2014/main" id="{00000000-0008-0000-0200-0000D0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21" name="Rectangle 78">
          <a:extLst>
            <a:ext uri="{FF2B5EF4-FFF2-40B4-BE49-F238E27FC236}">
              <a16:creationId xmlns:a16="http://schemas.microsoft.com/office/drawing/2014/main" id="{00000000-0008-0000-0200-0000D1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22" name="Rectangle 79">
          <a:extLst>
            <a:ext uri="{FF2B5EF4-FFF2-40B4-BE49-F238E27FC236}">
              <a16:creationId xmlns:a16="http://schemas.microsoft.com/office/drawing/2014/main" id="{00000000-0008-0000-0200-0000D2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23" name="Rectangle 80">
          <a:extLst>
            <a:ext uri="{FF2B5EF4-FFF2-40B4-BE49-F238E27FC236}">
              <a16:creationId xmlns:a16="http://schemas.microsoft.com/office/drawing/2014/main" id="{00000000-0008-0000-0200-0000D3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24" name="Rectangle 81">
          <a:extLst>
            <a:ext uri="{FF2B5EF4-FFF2-40B4-BE49-F238E27FC236}">
              <a16:creationId xmlns:a16="http://schemas.microsoft.com/office/drawing/2014/main" id="{00000000-0008-0000-0200-0000D4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25" name="Rectangle 82">
          <a:extLst>
            <a:ext uri="{FF2B5EF4-FFF2-40B4-BE49-F238E27FC236}">
              <a16:creationId xmlns:a16="http://schemas.microsoft.com/office/drawing/2014/main" id="{00000000-0008-0000-0200-0000D5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26" name="Rectangle 83">
          <a:extLst>
            <a:ext uri="{FF2B5EF4-FFF2-40B4-BE49-F238E27FC236}">
              <a16:creationId xmlns:a16="http://schemas.microsoft.com/office/drawing/2014/main" id="{00000000-0008-0000-0200-0000D6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0</xdr:rowOff>
    </xdr:from>
    <xdr:to>
      <xdr:col>0</xdr:col>
      <xdr:colOff>0</xdr:colOff>
      <xdr:row>67</xdr:row>
      <xdr:rowOff>0</xdr:rowOff>
    </xdr:to>
    <xdr:sp macro="" textlink="">
      <xdr:nvSpPr>
        <xdr:cNvPr id="160727" name="Rectangle 84">
          <a:extLst>
            <a:ext uri="{FF2B5EF4-FFF2-40B4-BE49-F238E27FC236}">
              <a16:creationId xmlns:a16="http://schemas.microsoft.com/office/drawing/2014/main" id="{00000000-0008-0000-0200-0000D7730200}"/>
            </a:ext>
          </a:extLst>
        </xdr:cNvPr>
        <xdr:cNvSpPr>
          <a:spLocks noChangeArrowheads="1"/>
        </xdr:cNvSpPr>
      </xdr:nvSpPr>
      <xdr:spPr bwMode="auto">
        <a:xfrm>
          <a:off x="0" y="10363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64486</xdr:colOff>
      <xdr:row>25</xdr:row>
      <xdr:rowOff>27590</xdr:rowOff>
    </xdr:from>
    <xdr:to>
      <xdr:col>25</xdr:col>
      <xdr:colOff>8869</xdr:colOff>
      <xdr:row>25</xdr:row>
      <xdr:rowOff>131270</xdr:rowOff>
    </xdr:to>
    <xdr:sp macro="" textlink="">
      <xdr:nvSpPr>
        <xdr:cNvPr id="2" name="Rectangle 41">
          <a:extLst>
            <a:ext uri="{FF2B5EF4-FFF2-40B4-BE49-F238E27FC236}">
              <a16:creationId xmlns:a16="http://schemas.microsoft.com/office/drawing/2014/main" id="{2A669D28-8922-491A-8A6C-62E76C1E3E54}"/>
            </a:ext>
          </a:extLst>
        </xdr:cNvPr>
        <xdr:cNvSpPr>
          <a:spLocks noChangeArrowheads="1"/>
        </xdr:cNvSpPr>
      </xdr:nvSpPr>
      <xdr:spPr bwMode="auto">
        <a:xfrm>
          <a:off x="3699314" y="4196693"/>
          <a:ext cx="88900" cy="103680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67114</xdr:colOff>
      <xdr:row>23</xdr:row>
      <xdr:rowOff>31093</xdr:rowOff>
    </xdr:from>
    <xdr:to>
      <xdr:col>25</xdr:col>
      <xdr:colOff>11497</xdr:colOff>
      <xdr:row>23</xdr:row>
      <xdr:rowOff>134773</xdr:rowOff>
    </xdr:to>
    <xdr:sp macro="" textlink="">
      <xdr:nvSpPr>
        <xdr:cNvPr id="4" name="Rectangle 41">
          <a:extLst>
            <a:ext uri="{FF2B5EF4-FFF2-40B4-BE49-F238E27FC236}">
              <a16:creationId xmlns:a16="http://schemas.microsoft.com/office/drawing/2014/main" id="{37FFCC20-618F-4363-9A60-1DCBA875F31C}"/>
            </a:ext>
          </a:extLst>
        </xdr:cNvPr>
        <xdr:cNvSpPr>
          <a:spLocks noChangeArrowheads="1"/>
        </xdr:cNvSpPr>
      </xdr:nvSpPr>
      <xdr:spPr bwMode="auto">
        <a:xfrm>
          <a:off x="3721085" y="3935436"/>
          <a:ext cx="89526" cy="103680"/>
        </a:xfrm>
        <a:prstGeom prst="rect">
          <a:avLst/>
        </a:prstGeom>
        <a:solidFill>
          <a:schemeClr val="tx1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470452</xdr:colOff>
      <xdr:row>5</xdr:row>
      <xdr:rowOff>13252</xdr:rowOff>
    </xdr:from>
    <xdr:to>
      <xdr:col>51</xdr:col>
      <xdr:colOff>556592</xdr:colOff>
      <xdr:row>12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27AD9F-D8AA-484C-A574-CE697AD4A36A}"/>
            </a:ext>
          </a:extLst>
        </xdr:cNvPr>
        <xdr:cNvSpPr/>
      </xdr:nvSpPr>
      <xdr:spPr bwMode="auto">
        <a:xfrm>
          <a:off x="10894612" y="455212"/>
          <a:ext cx="130534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424439</xdr:colOff>
      <xdr:row>14</xdr:row>
      <xdr:rowOff>109973</xdr:rowOff>
    </xdr:from>
    <xdr:to>
      <xdr:col>50</xdr:col>
      <xdr:colOff>464196</xdr:colOff>
      <xdr:row>22</xdr:row>
      <xdr:rowOff>1967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256C628-9EBE-4C57-8A31-902E12EB89C9}"/>
            </a:ext>
          </a:extLst>
        </xdr:cNvPr>
        <xdr:cNvSpPr/>
      </xdr:nvSpPr>
      <xdr:spPr bwMode="auto">
        <a:xfrm>
          <a:off x="9095999" y="2670293"/>
          <a:ext cx="1609477" cy="123311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192157</xdr:colOff>
      <xdr:row>5</xdr:row>
      <xdr:rowOff>13252</xdr:rowOff>
    </xdr:from>
    <xdr:to>
      <xdr:col>49</xdr:col>
      <xdr:colOff>231914</xdr:colOff>
      <xdr:row>12</xdr:row>
      <xdr:rowOff>106017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E2E9B9F-9A21-4B04-880B-794A6B6EF6E7}"/>
            </a:ext>
          </a:extLst>
        </xdr:cNvPr>
        <xdr:cNvSpPr/>
      </xdr:nvSpPr>
      <xdr:spPr bwMode="auto">
        <a:xfrm>
          <a:off x="9397117" y="455212"/>
          <a:ext cx="125895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50</xdr:col>
      <xdr:colOff>91440</xdr:colOff>
      <xdr:row>6</xdr:row>
      <xdr:rowOff>91440</xdr:rowOff>
    </xdr:from>
    <xdr:to>
      <xdr:col>51</xdr:col>
      <xdr:colOff>167640</xdr:colOff>
      <xdr:row>11</xdr:row>
      <xdr:rowOff>99060</xdr:rowOff>
    </xdr:to>
    <xdr:pic macro="[0]!VincularImagens">
      <xdr:nvPicPr>
        <xdr:cNvPr id="8" name="Gráfico 5" descr="Computação em Nuvem estrutura de tópicos">
          <a:extLst>
            <a:ext uri="{FF2B5EF4-FFF2-40B4-BE49-F238E27FC236}">
              <a16:creationId xmlns:a16="http://schemas.microsoft.com/office/drawing/2014/main" id="{F082146C-4440-4A35-8089-8240A2C78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685800"/>
          <a:ext cx="86106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49</xdr:col>
      <xdr:colOff>426388</xdr:colOff>
      <xdr:row>5</xdr:row>
      <xdr:rowOff>1987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48EA4876-2037-4BB8-8400-5CB55212413E}"/>
            </a:ext>
          </a:extLst>
        </xdr:cNvPr>
        <xdr:cNvSpPr/>
      </xdr:nvSpPr>
      <xdr:spPr>
        <a:xfrm>
          <a:off x="1085054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47</xdr:col>
      <xdr:colOff>72887</xdr:colOff>
      <xdr:row>5</xdr:row>
      <xdr:rowOff>13252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C6D564B4-4B25-401A-9999-05B7C3E2A865}"/>
            </a:ext>
          </a:extLst>
        </xdr:cNvPr>
        <xdr:cNvSpPr/>
      </xdr:nvSpPr>
      <xdr:spPr>
        <a:xfrm>
          <a:off x="9277847" y="4552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48</xdr:col>
      <xdr:colOff>431027</xdr:colOff>
      <xdr:row>14</xdr:row>
      <xdr:rowOff>112312</xdr:rowOff>
    </xdr:from>
    <xdr:ext cx="1424941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A6CF6A6E-8A79-4C41-8B85-B4B9B038BCE3}"/>
            </a:ext>
          </a:extLst>
        </xdr:cNvPr>
        <xdr:cNvSpPr/>
      </xdr:nvSpPr>
      <xdr:spPr>
        <a:xfrm>
          <a:off x="9102587" y="267263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twoCellAnchor editAs="oneCell">
    <xdr:from>
      <xdr:col>49</xdr:col>
      <xdr:colOff>6723</xdr:colOff>
      <xdr:row>16</xdr:row>
      <xdr:rowOff>42134</xdr:rowOff>
    </xdr:from>
    <xdr:to>
      <xdr:col>50</xdr:col>
      <xdr:colOff>136263</xdr:colOff>
      <xdr:row>21</xdr:row>
      <xdr:rowOff>118334</xdr:rowOff>
    </xdr:to>
    <xdr:pic macro="[0]!ExportarPDF">
      <xdr:nvPicPr>
        <xdr:cNvPr id="15" name="Gráfico 14" descr="Papel estrutura de tópicos">
          <a:extLst>
            <a:ext uri="{FF2B5EF4-FFF2-40B4-BE49-F238E27FC236}">
              <a16:creationId xmlns:a16="http://schemas.microsoft.com/office/drawing/2014/main" id="{0F1AF4CD-020D-4190-8A59-B2B1707E4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63143" y="2937734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47</xdr:col>
      <xdr:colOff>519817</xdr:colOff>
      <xdr:row>6</xdr:row>
      <xdr:rowOff>74212</xdr:rowOff>
    </xdr:from>
    <xdr:to>
      <xdr:col>48</xdr:col>
      <xdr:colOff>649357</xdr:colOff>
      <xdr:row>11</xdr:row>
      <xdr:rowOff>135172</xdr:rowOff>
    </xdr:to>
    <xdr:pic macro="[0]!CaputarLogos">
      <xdr:nvPicPr>
        <xdr:cNvPr id="3" name="Gráfico 8" descr="Imagens com preenchimento sólido">
          <a:extLst>
            <a:ext uri="{FF2B5EF4-FFF2-40B4-BE49-F238E27FC236}">
              <a16:creationId xmlns:a16="http://schemas.microsoft.com/office/drawing/2014/main" id="{9CF0F487-6325-4AF9-8ADB-3B3BF1909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4177" y="1293412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AE9532-E52C-4469-B19B-D00E9E2EA4E5}" name="TDados" displayName="TDados" ref="A1:I2" totalsRowShown="0">
  <autoFilter ref="A1:I2" xr:uid="{00000000-0009-0000-0100-000001000000}"/>
  <tableColumns count="9">
    <tableColumn id="1" xr3:uid="{48B63421-8E2A-45C5-BD3D-977E3B12DD76}" name="id"/>
    <tableColumn id="2" xr3:uid="{C9208AB8-B4B5-45E6-BA0F-5DF725543DA0}" name="logoCliente" dataCellStyle="Hiperlink"/>
    <tableColumn id="3" xr3:uid="{61E3145B-E78B-43F1-91E0-6C238E8673BA}" name="nomeCliente"/>
    <tableColumn id="4" xr3:uid="{03117CCD-79DF-402A-B38E-1EE7F5CF7B16}" name="numProjeto"/>
    <tableColumn id="5" xr3:uid="{240AAD30-D61C-406A-9DF9-A2F40480E5DB}" name="cidadeCliente"/>
    <tableColumn id="6" xr3:uid="{B3A80D6F-245B-49C5-84D8-F395241CD38F}" name="siglaProjeto"/>
    <tableColumn id="7" xr3:uid="{C9E71234-D7D2-40C3-9FA8-19964B02E480}" name="solicitante"/>
    <tableColumn id="8" xr3:uid="{F286D6C9-E175-4BB4-8B0F-2E764D9E2726}" name="responsavelTecnico"/>
    <tableColumn id="9" xr3:uid="{94F45412-C53F-4697-908C-18F8349C9A99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vert="vert270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vert="vert270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ransfer/Logos/Technik.p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9A12-5ABF-4346-85B8-AD365C86CFEC}">
  <sheetPr codeName="Planilha3">
    <tabColor rgb="FF92D050"/>
  </sheetPr>
  <dimension ref="A1:I2"/>
  <sheetViews>
    <sheetView workbookViewId="0">
      <selection activeCell="B1" sqref="B1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6640625" bestFit="1" customWidth="1"/>
    <col min="9" max="9" width="9.5546875" bestFit="1" customWidth="1"/>
  </cols>
  <sheetData>
    <row r="1" spans="1:9" x14ac:dyDescent="0.25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</row>
    <row r="2" spans="1:9" x14ac:dyDescent="0.25">
      <c r="A2">
        <v>1</v>
      </c>
      <c r="B2" s="107" t="s">
        <v>186</v>
      </c>
    </row>
  </sheetData>
  <hyperlinks>
    <hyperlink ref="B2" r:id="rId1" xr:uid="{B75EC2EE-5CB6-445F-A0B0-406956B620EB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FD6B-791B-4707-BF87-442722DB976C}">
  <sheetPr codeName="Planilha1">
    <pageSetUpPr fitToPage="1"/>
  </sheetPr>
  <dimension ref="A1:W86"/>
  <sheetViews>
    <sheetView showGridLines="0" view="pageBreakPreview" zoomScale="85" zoomScaleNormal="85" zoomScaleSheetLayoutView="85" workbookViewId="0">
      <selection activeCell="B23" sqref="B23:N24"/>
    </sheetView>
  </sheetViews>
  <sheetFormatPr defaultRowHeight="12" customHeight="1" x14ac:dyDescent="0.25"/>
  <cols>
    <col min="1" max="12" width="8.33203125" customWidth="1"/>
  </cols>
  <sheetData>
    <row r="1" spans="1:22" ht="12" customHeight="1" x14ac:dyDescent="0.25">
      <c r="A1" s="134" t="e" vm="1">
        <f>_xlfn.IMAGE(TDados[logoCliente])</f>
        <v>#VALUE!</v>
      </c>
      <c r="B1" s="135"/>
      <c r="C1" s="135"/>
      <c r="D1" s="140" t="s">
        <v>0</v>
      </c>
      <c r="E1" s="140"/>
      <c r="F1" s="140"/>
      <c r="G1" s="140"/>
      <c r="H1" s="140"/>
      <c r="I1" s="142" t="s">
        <v>180</v>
      </c>
      <c r="J1" s="144" t="str">
        <f>"FD-"&amp;Config!D2&amp;"-"&amp;Config!F2&amp;"-001"</f>
        <v>FD---001</v>
      </c>
      <c r="K1" s="144"/>
      <c r="L1" s="144"/>
      <c r="M1" s="144"/>
      <c r="N1" s="144"/>
      <c r="O1" s="145"/>
    </row>
    <row r="2" spans="1:22" ht="12" customHeight="1" x14ac:dyDescent="0.25">
      <c r="A2" s="136"/>
      <c r="B2" s="137"/>
      <c r="C2" s="137"/>
      <c r="D2" s="141"/>
      <c r="E2" s="141"/>
      <c r="F2" s="141"/>
      <c r="G2" s="141"/>
      <c r="H2" s="141"/>
      <c r="I2" s="143"/>
      <c r="J2" s="146"/>
      <c r="K2" s="146"/>
      <c r="L2" s="146"/>
      <c r="M2" s="146"/>
      <c r="N2" s="146"/>
      <c r="O2" s="147"/>
    </row>
    <row r="3" spans="1:22" ht="12" customHeight="1" x14ac:dyDescent="0.25">
      <c r="A3" s="136"/>
      <c r="B3" s="137"/>
      <c r="C3" s="137"/>
      <c r="D3" s="148" t="s">
        <v>1</v>
      </c>
      <c r="E3" s="150">
        <f>Config!C2</f>
        <v>0</v>
      </c>
      <c r="F3" s="150"/>
      <c r="G3" s="150"/>
      <c r="H3" s="150"/>
      <c r="I3" s="150"/>
      <c r="J3" s="150"/>
      <c r="K3" s="150"/>
      <c r="L3" s="150"/>
      <c r="M3" s="150"/>
      <c r="N3" s="150"/>
      <c r="O3" s="151"/>
    </row>
    <row r="4" spans="1:22" ht="12" customHeight="1" x14ac:dyDescent="0.25">
      <c r="A4" s="138"/>
      <c r="B4" s="139"/>
      <c r="C4" s="139"/>
      <c r="D4" s="149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7"/>
    </row>
    <row r="5" spans="1:22" ht="12" customHeight="1" x14ac:dyDescent="0.25">
      <c r="A5" s="152" t="e" vm="1">
        <f t="shared" ref="A5" si="0">_xlfn.IMAGE("https://technikgrupo.sharepoint.com/sites/transfer/Logos/Technik.png")</f>
        <v>#VALUE!</v>
      </c>
      <c r="B5" s="153"/>
      <c r="C5" s="154"/>
      <c r="D5" s="148" t="s">
        <v>2</v>
      </c>
      <c r="E5" s="150">
        <f>Config!E2</f>
        <v>0</v>
      </c>
      <c r="F5" s="150"/>
      <c r="G5" s="150"/>
      <c r="H5" s="150"/>
      <c r="I5" s="150"/>
      <c r="J5" s="150"/>
      <c r="K5" s="150"/>
      <c r="L5" s="150"/>
      <c r="M5" s="150"/>
      <c r="N5" s="150"/>
      <c r="O5" s="151"/>
    </row>
    <row r="6" spans="1:22" ht="12" customHeight="1" x14ac:dyDescent="0.25">
      <c r="A6" s="136"/>
      <c r="B6" s="137"/>
      <c r="C6" s="155"/>
      <c r="D6" s="149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8"/>
    </row>
    <row r="7" spans="1:22" ht="12" customHeight="1" x14ac:dyDescent="0.25">
      <c r="A7" s="136"/>
      <c r="B7" s="137"/>
      <c r="C7" s="155"/>
      <c r="D7" s="148" t="s">
        <v>3</v>
      </c>
      <c r="E7" s="150" t="s">
        <v>181</v>
      </c>
      <c r="F7" s="150"/>
      <c r="G7" s="150"/>
      <c r="H7" s="150"/>
      <c r="I7" s="150"/>
      <c r="J7" s="150"/>
      <c r="K7" s="150"/>
      <c r="L7" s="150"/>
      <c r="M7" s="150"/>
      <c r="N7" s="150"/>
      <c r="O7" s="151"/>
    </row>
    <row r="8" spans="1:22" ht="12" customHeight="1" x14ac:dyDescent="0.25">
      <c r="A8" s="138"/>
      <c r="B8" s="139"/>
      <c r="C8" s="156"/>
      <c r="D8" s="149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7"/>
    </row>
    <row r="9" spans="1:22" ht="12" customHeight="1" x14ac:dyDescent="0.25">
      <c r="A9" s="159" t="s">
        <v>4</v>
      </c>
      <c r="B9" s="160"/>
      <c r="C9" s="161"/>
      <c r="D9" s="148" t="s">
        <v>5</v>
      </c>
      <c r="E9" s="166" t="s">
        <v>149</v>
      </c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22" ht="12" customHeight="1" thickBot="1" x14ac:dyDescent="0.3">
      <c r="A10" s="162"/>
      <c r="B10" s="163"/>
      <c r="C10" s="164"/>
      <c r="D10" s="165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9"/>
    </row>
    <row r="11" spans="1:22" ht="12" customHeight="1" x14ac:dyDescent="0.25">
      <c r="A11" s="170" t="s">
        <v>6</v>
      </c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2"/>
    </row>
    <row r="12" spans="1:22" ht="12" customHeight="1" thickBot="1" x14ac:dyDescent="0.3">
      <c r="A12" s="173"/>
      <c r="B12" s="174"/>
      <c r="C12" s="174"/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5"/>
      <c r="T12" s="82"/>
      <c r="U12" s="82"/>
      <c r="V12" s="82"/>
    </row>
    <row r="13" spans="1:22" ht="12" customHeight="1" x14ac:dyDescent="0.25">
      <c r="A13" s="125" t="s">
        <v>7</v>
      </c>
      <c r="B13" s="127" t="s">
        <v>8</v>
      </c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8"/>
      <c r="T13" s="82"/>
      <c r="U13" s="82"/>
      <c r="V13" s="82"/>
    </row>
    <row r="14" spans="1:22" ht="12" customHeight="1" thickBot="1" x14ac:dyDescent="0.3">
      <c r="A14" s="126"/>
      <c r="B14" s="129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30"/>
      <c r="T14" s="82"/>
      <c r="U14" s="82"/>
      <c r="V14" s="82"/>
    </row>
    <row r="15" spans="1:22" ht="12" customHeight="1" x14ac:dyDescent="0.25">
      <c r="A15" s="131">
        <v>0</v>
      </c>
      <c r="B15" s="132" t="s">
        <v>182</v>
      </c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3"/>
      <c r="T15" s="82"/>
      <c r="U15" s="82"/>
      <c r="V15" s="82"/>
    </row>
    <row r="16" spans="1:22" ht="12" customHeight="1" x14ac:dyDescent="0.25">
      <c r="A16" s="131"/>
      <c r="B16" s="132"/>
      <c r="C16" s="132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3"/>
      <c r="T16" s="82"/>
      <c r="U16" s="82"/>
      <c r="V16" s="82"/>
    </row>
    <row r="17" spans="1:23" ht="12" customHeight="1" x14ac:dyDescent="0.25">
      <c r="A17" s="109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2"/>
      <c r="T17" s="82"/>
      <c r="U17" s="82"/>
      <c r="V17" s="82"/>
    </row>
    <row r="18" spans="1:23" ht="12" customHeight="1" x14ac:dyDescent="0.25">
      <c r="A18" s="109"/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2"/>
      <c r="T18" s="82"/>
      <c r="U18" s="82"/>
      <c r="V18" s="82"/>
    </row>
    <row r="19" spans="1:23" ht="12" customHeight="1" x14ac:dyDescent="0.25">
      <c r="A19" s="109"/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2"/>
      <c r="T19" s="82"/>
      <c r="U19" s="82"/>
      <c r="V19" s="82"/>
    </row>
    <row r="20" spans="1:23" ht="12" customHeight="1" x14ac:dyDescent="0.25">
      <c r="A20" s="109"/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2"/>
      <c r="S20" s="82"/>
      <c r="T20" s="82"/>
      <c r="U20" s="82"/>
      <c r="V20" s="82"/>
    </row>
    <row r="21" spans="1:23" ht="12" customHeight="1" x14ac:dyDescent="0.25">
      <c r="A21" s="109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2"/>
    </row>
    <row r="22" spans="1:23" ht="12" customHeight="1" x14ac:dyDescent="0.25">
      <c r="A22" s="109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2"/>
    </row>
    <row r="23" spans="1:23" ht="12" customHeight="1" x14ac:dyDescent="0.25">
      <c r="A23" s="109"/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2"/>
    </row>
    <row r="24" spans="1:23" ht="12" customHeight="1" x14ac:dyDescent="0.25">
      <c r="A24" s="109"/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2"/>
    </row>
    <row r="25" spans="1:23" ht="12" customHeight="1" x14ac:dyDescent="0.25">
      <c r="A25" s="109"/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2"/>
      <c r="S25" s="87"/>
      <c r="T25" s="82"/>
      <c r="U25" s="82"/>
      <c r="V25" s="82"/>
    </row>
    <row r="26" spans="1:23" ht="12" customHeight="1" x14ac:dyDescent="0.25">
      <c r="A26" s="109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2"/>
    </row>
    <row r="27" spans="1:23" ht="12" customHeight="1" x14ac:dyDescent="0.25">
      <c r="A27" s="109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2"/>
    </row>
    <row r="28" spans="1:23" ht="12" customHeight="1" x14ac:dyDescent="0.25">
      <c r="A28" s="109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2"/>
    </row>
    <row r="29" spans="1:23" ht="12" customHeight="1" x14ac:dyDescent="0.25">
      <c r="A29" s="109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2"/>
      <c r="T29" s="82"/>
      <c r="U29" s="82"/>
      <c r="V29" s="82"/>
      <c r="W29" s="82"/>
    </row>
    <row r="30" spans="1:23" ht="12" customHeight="1" x14ac:dyDescent="0.25">
      <c r="A30" s="109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2"/>
      <c r="T30" s="82"/>
      <c r="U30" s="82"/>
      <c r="V30" s="82"/>
      <c r="W30" s="82"/>
    </row>
    <row r="31" spans="1:23" ht="12" customHeight="1" x14ac:dyDescent="0.25">
      <c r="A31" s="109"/>
      <c r="B31" s="110"/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2"/>
      <c r="T31" s="82"/>
      <c r="U31" s="82"/>
      <c r="V31" s="82"/>
      <c r="W31" s="82"/>
    </row>
    <row r="32" spans="1:23" ht="12" customHeight="1" x14ac:dyDescent="0.25">
      <c r="A32" s="109"/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2"/>
      <c r="T32" s="82"/>
      <c r="U32" s="82"/>
      <c r="V32" s="82"/>
      <c r="W32" s="82"/>
    </row>
    <row r="33" spans="1:23" ht="12" customHeight="1" x14ac:dyDescent="0.25">
      <c r="A33" s="109"/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2"/>
      <c r="T33" s="82"/>
      <c r="U33" s="82"/>
      <c r="V33" s="82"/>
      <c r="W33" s="82"/>
    </row>
    <row r="34" spans="1:23" ht="12" customHeight="1" x14ac:dyDescent="0.25">
      <c r="A34" s="109"/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2"/>
      <c r="T34" s="82"/>
      <c r="U34" s="82"/>
      <c r="V34" s="82"/>
      <c r="W34" s="82"/>
    </row>
    <row r="35" spans="1:23" ht="12" customHeight="1" x14ac:dyDescent="0.25">
      <c r="A35" s="109"/>
      <c r="B35" s="110"/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2"/>
      <c r="T35" s="82"/>
      <c r="U35" s="82"/>
      <c r="V35" s="82"/>
      <c r="W35" s="82"/>
    </row>
    <row r="36" spans="1:23" ht="12" customHeight="1" x14ac:dyDescent="0.25">
      <c r="A36" s="109"/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2"/>
      <c r="T36" s="82"/>
      <c r="U36" s="82"/>
      <c r="V36" s="82"/>
      <c r="W36" s="82"/>
    </row>
    <row r="37" spans="1:23" ht="12" customHeight="1" x14ac:dyDescent="0.25">
      <c r="A37" s="109"/>
      <c r="B37" s="110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2"/>
    </row>
    <row r="38" spans="1:23" ht="12" customHeight="1" x14ac:dyDescent="0.25">
      <c r="A38" s="109"/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2"/>
    </row>
    <row r="39" spans="1:23" ht="12" customHeight="1" x14ac:dyDescent="0.25">
      <c r="A39" s="75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86"/>
    </row>
    <row r="40" spans="1:23" ht="12" customHeight="1" x14ac:dyDescent="0.25">
      <c r="A40" s="75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86"/>
    </row>
    <row r="41" spans="1:23" ht="12" customHeight="1" x14ac:dyDescent="0.25">
      <c r="A41" s="75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86"/>
    </row>
    <row r="42" spans="1:23" ht="12" customHeight="1" x14ac:dyDescent="0.25">
      <c r="A42" s="75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86"/>
    </row>
    <row r="43" spans="1:23" ht="12" customHeight="1" x14ac:dyDescent="0.25">
      <c r="A43" s="109"/>
      <c r="B43" s="110"/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2"/>
    </row>
    <row r="44" spans="1:23" ht="12" customHeight="1" x14ac:dyDescent="0.25">
      <c r="A44" s="109"/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2"/>
    </row>
    <row r="45" spans="1:23" ht="12" customHeight="1" x14ac:dyDescent="0.25">
      <c r="A45" s="109"/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2"/>
    </row>
    <row r="46" spans="1:23" ht="12" customHeight="1" thickBot="1" x14ac:dyDescent="0.3">
      <c r="A46" s="109"/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2"/>
    </row>
    <row r="47" spans="1:23" ht="12" customHeight="1" x14ac:dyDescent="0.25">
      <c r="A47" s="113" t="s">
        <v>9</v>
      </c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5"/>
    </row>
    <row r="48" spans="1:23" ht="12" customHeight="1" thickBot="1" x14ac:dyDescent="0.3">
      <c r="A48" s="116"/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8"/>
    </row>
    <row r="49" spans="1:15" ht="12" customHeight="1" x14ac:dyDescent="0.25">
      <c r="A49" s="109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1"/>
    </row>
    <row r="50" spans="1:15" ht="12" customHeight="1" x14ac:dyDescent="0.25">
      <c r="A50" s="109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1"/>
    </row>
    <row r="51" spans="1:15" ht="12" customHeight="1" x14ac:dyDescent="0.25">
      <c r="A51" s="109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1"/>
    </row>
    <row r="52" spans="1:15" ht="12" customHeight="1" x14ac:dyDescent="0.25">
      <c r="A52" s="109"/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1"/>
    </row>
    <row r="53" spans="1:15" ht="12" customHeight="1" x14ac:dyDescent="0.25">
      <c r="A53" s="109"/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1"/>
    </row>
    <row r="54" spans="1:15" ht="12" customHeight="1" x14ac:dyDescent="0.25">
      <c r="A54" s="109"/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</row>
    <row r="55" spans="1:15" ht="12" customHeight="1" x14ac:dyDescent="0.25">
      <c r="A55" s="109"/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1"/>
    </row>
    <row r="56" spans="1:15" ht="12" customHeight="1" x14ac:dyDescent="0.25">
      <c r="A56" s="109"/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1"/>
    </row>
    <row r="57" spans="1:15" ht="12" customHeight="1" x14ac:dyDescent="0.25">
      <c r="A57" s="109"/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1"/>
    </row>
    <row r="58" spans="1:15" ht="12" customHeight="1" x14ac:dyDescent="0.25">
      <c r="A58" s="109"/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1"/>
    </row>
    <row r="59" spans="1:15" ht="12" customHeight="1" x14ac:dyDescent="0.25">
      <c r="A59" s="109"/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1"/>
    </row>
    <row r="60" spans="1:15" ht="12" customHeight="1" x14ac:dyDescent="0.25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1"/>
    </row>
    <row r="61" spans="1:15" ht="12" customHeight="1" x14ac:dyDescent="0.25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1"/>
    </row>
    <row r="62" spans="1:15" ht="12" customHeight="1" x14ac:dyDescent="0.25">
      <c r="A62" s="109"/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1"/>
    </row>
    <row r="63" spans="1:15" ht="12" customHeight="1" x14ac:dyDescent="0.25">
      <c r="A63" s="109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1"/>
    </row>
    <row r="64" spans="1:15" ht="12" customHeight="1" x14ac:dyDescent="0.25">
      <c r="A64" s="109"/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1"/>
    </row>
    <row r="65" spans="1:15" ht="12" customHeight="1" x14ac:dyDescent="0.25">
      <c r="A65" s="109"/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1"/>
    </row>
    <row r="66" spans="1:15" ht="12" customHeight="1" x14ac:dyDescent="0.25">
      <c r="A66" s="109"/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1"/>
    </row>
    <row r="67" spans="1:15" ht="12" customHeight="1" x14ac:dyDescent="0.25">
      <c r="A67" s="109"/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1"/>
    </row>
    <row r="68" spans="1:15" ht="12" customHeight="1" x14ac:dyDescent="0.25">
      <c r="A68" s="109"/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1"/>
    </row>
    <row r="69" spans="1:15" ht="12" customHeight="1" x14ac:dyDescent="0.25">
      <c r="A69" s="109"/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1"/>
    </row>
    <row r="70" spans="1:15" ht="12" customHeight="1" x14ac:dyDescent="0.25">
      <c r="A70" s="109"/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1"/>
    </row>
    <row r="71" spans="1:15" ht="12" customHeight="1" x14ac:dyDescent="0.25">
      <c r="A71" s="109"/>
      <c r="B71" s="110"/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1"/>
    </row>
    <row r="72" spans="1:15" ht="12" customHeight="1" x14ac:dyDescent="0.25">
      <c r="A72" s="109"/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1"/>
    </row>
    <row r="73" spans="1:15" ht="12" customHeight="1" x14ac:dyDescent="0.25">
      <c r="A73" s="109"/>
      <c r="B73" s="110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1"/>
    </row>
    <row r="74" spans="1:15" ht="12" customHeight="1" x14ac:dyDescent="0.25">
      <c r="A74" s="109"/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1"/>
    </row>
    <row r="75" spans="1:15" ht="12" customHeight="1" x14ac:dyDescent="0.25">
      <c r="A75" s="109"/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1"/>
    </row>
    <row r="76" spans="1:15" ht="12" customHeight="1" x14ac:dyDescent="0.25">
      <c r="A76" s="109"/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1"/>
    </row>
    <row r="77" spans="1:15" ht="12" customHeight="1" x14ac:dyDescent="0.25">
      <c r="A77" s="109"/>
      <c r="B77" s="110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1"/>
    </row>
    <row r="78" spans="1:15" ht="12" customHeight="1" x14ac:dyDescent="0.25">
      <c r="A78" s="109"/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1"/>
    </row>
    <row r="79" spans="1:15" ht="12" customHeight="1" x14ac:dyDescent="0.25">
      <c r="A79" s="109"/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1"/>
    </row>
    <row r="80" spans="1:15" ht="12" customHeight="1" x14ac:dyDescent="0.25">
      <c r="A80" s="109"/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1"/>
    </row>
    <row r="81" spans="1:15" ht="12" customHeight="1" x14ac:dyDescent="0.25">
      <c r="A81" s="122" t="s">
        <v>10</v>
      </c>
      <c r="B81" s="123"/>
      <c r="C81" s="124"/>
      <c r="D81" s="60">
        <v>0</v>
      </c>
      <c r="E81" s="60">
        <v>1</v>
      </c>
      <c r="F81" s="60">
        <v>2</v>
      </c>
      <c r="G81" s="60">
        <v>3</v>
      </c>
      <c r="H81" s="60">
        <v>4</v>
      </c>
      <c r="I81" s="60">
        <v>5</v>
      </c>
      <c r="J81" s="60">
        <v>6</v>
      </c>
      <c r="K81" s="60">
        <v>7</v>
      </c>
      <c r="L81" s="60">
        <v>8</v>
      </c>
      <c r="M81" s="60">
        <v>9</v>
      </c>
      <c r="N81" s="60">
        <v>10</v>
      </c>
      <c r="O81" s="83">
        <v>11</v>
      </c>
    </row>
    <row r="82" spans="1:15" ht="12" customHeight="1" x14ac:dyDescent="0.25">
      <c r="A82" s="122" t="s">
        <v>11</v>
      </c>
      <c r="B82" s="123"/>
      <c r="C82" s="124"/>
      <c r="D82" s="61">
        <f ca="1">TODAY()</f>
        <v>45189</v>
      </c>
      <c r="E82" s="88"/>
      <c r="F82" s="88"/>
      <c r="G82" s="60"/>
      <c r="H82" s="60"/>
      <c r="I82" s="88"/>
      <c r="J82" s="60"/>
      <c r="K82" s="60"/>
      <c r="L82" s="60"/>
      <c r="M82" s="60"/>
      <c r="N82" s="60"/>
      <c r="O82" s="83"/>
    </row>
    <row r="83" spans="1:15" ht="12" customHeight="1" x14ac:dyDescent="0.25">
      <c r="A83" s="122" t="s">
        <v>12</v>
      </c>
      <c r="B83" s="123"/>
      <c r="C83" s="124"/>
      <c r="D83" s="60" cm="1">
        <f t="array" ref="D83">TDados[numProjeto]</f>
        <v>0</v>
      </c>
      <c r="E83" s="60"/>
      <c r="F83" s="62"/>
      <c r="G83" s="62"/>
      <c r="H83" s="62"/>
      <c r="I83" s="62"/>
      <c r="J83" s="62"/>
      <c r="K83" s="62"/>
      <c r="L83" s="62"/>
      <c r="M83" s="62"/>
      <c r="N83" s="62"/>
      <c r="O83" s="84"/>
    </row>
    <row r="84" spans="1:15" ht="12" customHeight="1" x14ac:dyDescent="0.25">
      <c r="A84" s="122" t="s">
        <v>13</v>
      </c>
      <c r="B84" s="123"/>
      <c r="C84" s="124"/>
      <c r="D84" s="60" t="s">
        <v>183</v>
      </c>
      <c r="E84" s="60"/>
      <c r="F84" s="62"/>
      <c r="G84" s="62"/>
      <c r="H84" s="62"/>
      <c r="I84" s="62"/>
      <c r="J84" s="62"/>
      <c r="K84" s="62"/>
      <c r="L84" s="62"/>
      <c r="M84" s="62"/>
      <c r="N84" s="62"/>
      <c r="O84" s="84"/>
    </row>
    <row r="85" spans="1:15" ht="12" customHeight="1" x14ac:dyDescent="0.25">
      <c r="A85" s="122" t="s">
        <v>184</v>
      </c>
      <c r="B85" s="123"/>
      <c r="C85" s="124"/>
      <c r="D85" s="60" t="s">
        <v>150</v>
      </c>
      <c r="E85" s="60"/>
      <c r="F85" s="62"/>
      <c r="G85" s="62"/>
      <c r="H85" s="62"/>
      <c r="I85" s="62"/>
      <c r="J85" s="62"/>
      <c r="K85" s="62"/>
      <c r="L85" s="62"/>
      <c r="M85" s="62"/>
      <c r="N85" s="62"/>
      <c r="O85" s="84"/>
    </row>
    <row r="86" spans="1:15" ht="12" customHeight="1" thickBot="1" x14ac:dyDescent="0.3">
      <c r="A86" s="119" t="s">
        <v>14</v>
      </c>
      <c r="B86" s="120"/>
      <c r="C86" s="121"/>
      <c r="D86" s="89" t="s">
        <v>185</v>
      </c>
      <c r="E86" s="89"/>
      <c r="F86" s="63"/>
      <c r="G86" s="63"/>
      <c r="H86" s="63"/>
      <c r="I86" s="63"/>
      <c r="J86" s="63"/>
      <c r="K86" s="63"/>
      <c r="L86" s="63"/>
      <c r="M86" s="63"/>
      <c r="N86" s="63"/>
      <c r="O86" s="85"/>
    </row>
  </sheetData>
  <mergeCells count="113">
    <mergeCell ref="A9:C10"/>
    <mergeCell ref="D9:D10"/>
    <mergeCell ref="E9:O10"/>
    <mergeCell ref="A11:O12"/>
    <mergeCell ref="A1:C4"/>
    <mergeCell ref="D1:H2"/>
    <mergeCell ref="I1:I2"/>
    <mergeCell ref="J1:O2"/>
    <mergeCell ref="D3:D4"/>
    <mergeCell ref="E3:O4"/>
    <mergeCell ref="A5:C8"/>
    <mergeCell ref="D5:D6"/>
    <mergeCell ref="E5:O6"/>
    <mergeCell ref="D7:D8"/>
    <mergeCell ref="E7:O8"/>
    <mergeCell ref="A63:A64"/>
    <mergeCell ref="B61:N62"/>
    <mergeCell ref="O61:O62"/>
    <mergeCell ref="B63:N64"/>
    <mergeCell ref="O63:O64"/>
    <mergeCell ref="A65:A66"/>
    <mergeCell ref="B65:N66"/>
    <mergeCell ref="O65:O66"/>
    <mergeCell ref="A13:A14"/>
    <mergeCell ref="B13:O14"/>
    <mergeCell ref="A15:A16"/>
    <mergeCell ref="B15:O16"/>
    <mergeCell ref="O17:O18"/>
    <mergeCell ref="A86:C86"/>
    <mergeCell ref="A81:C81"/>
    <mergeCell ref="A82:C82"/>
    <mergeCell ref="A83:C83"/>
    <mergeCell ref="A84:C84"/>
    <mergeCell ref="A85:C85"/>
    <mergeCell ref="A73:A74"/>
    <mergeCell ref="B73:N74"/>
    <mergeCell ref="O73:O74"/>
    <mergeCell ref="A75:A76"/>
    <mergeCell ref="A77:A78"/>
    <mergeCell ref="B77:N78"/>
    <mergeCell ref="O77:O78"/>
    <mergeCell ref="B75:N76"/>
    <mergeCell ref="O75:O76"/>
    <mergeCell ref="A79:A80"/>
    <mergeCell ref="B79:N80"/>
    <mergeCell ref="O79:O80"/>
    <mergeCell ref="B25:N26"/>
    <mergeCell ref="O25:O26"/>
    <mergeCell ref="A27:A28"/>
    <mergeCell ref="B27:N28"/>
    <mergeCell ref="O27:O28"/>
    <mergeCell ref="B17:N18"/>
    <mergeCell ref="B19:N20"/>
    <mergeCell ref="O19:O20"/>
    <mergeCell ref="B21:N22"/>
    <mergeCell ref="O21:O22"/>
    <mergeCell ref="A19:A20"/>
    <mergeCell ref="A21:A22"/>
    <mergeCell ref="A23:A24"/>
    <mergeCell ref="B23:N24"/>
    <mergeCell ref="O23:O24"/>
    <mergeCell ref="A25:A26"/>
    <mergeCell ref="A17:A18"/>
    <mergeCell ref="A33:A34"/>
    <mergeCell ref="B33:N34"/>
    <mergeCell ref="O33:O34"/>
    <mergeCell ref="A35:A36"/>
    <mergeCell ref="B35:N36"/>
    <mergeCell ref="O35:O36"/>
    <mergeCell ref="A29:A30"/>
    <mergeCell ref="B29:N30"/>
    <mergeCell ref="O29:O30"/>
    <mergeCell ref="A31:A32"/>
    <mergeCell ref="B31:N32"/>
    <mergeCell ref="O31:O32"/>
    <mergeCell ref="B37:N38"/>
    <mergeCell ref="O37:O38"/>
    <mergeCell ref="B43:N44"/>
    <mergeCell ref="O43:O44"/>
    <mergeCell ref="A53:A54"/>
    <mergeCell ref="A37:A38"/>
    <mergeCell ref="A43:A44"/>
    <mergeCell ref="A47:O48"/>
    <mergeCell ref="A49:A50"/>
    <mergeCell ref="B49:N50"/>
    <mergeCell ref="O49:O50"/>
    <mergeCell ref="A51:A52"/>
    <mergeCell ref="B51:N52"/>
    <mergeCell ref="O51:O52"/>
    <mergeCell ref="A69:A70"/>
    <mergeCell ref="B69:N70"/>
    <mergeCell ref="O69:O70"/>
    <mergeCell ref="A71:A72"/>
    <mergeCell ref="B71:N72"/>
    <mergeCell ref="O71:O72"/>
    <mergeCell ref="A45:A46"/>
    <mergeCell ref="B45:N46"/>
    <mergeCell ref="O45:O46"/>
    <mergeCell ref="B53:N54"/>
    <mergeCell ref="O53:O54"/>
    <mergeCell ref="A67:A68"/>
    <mergeCell ref="B67:N68"/>
    <mergeCell ref="O67:O68"/>
    <mergeCell ref="A55:A56"/>
    <mergeCell ref="A57:A58"/>
    <mergeCell ref="A59:A60"/>
    <mergeCell ref="B55:N56"/>
    <mergeCell ref="O55:O56"/>
    <mergeCell ref="B57:N58"/>
    <mergeCell ref="O57:O58"/>
    <mergeCell ref="B59:N60"/>
    <mergeCell ref="O59:O60"/>
    <mergeCell ref="A61:A62"/>
  </mergeCells>
  <pageMargins left="0.51181102362204722" right="0.51181102362204722" top="0.78740157480314965" bottom="0.78740157480314965" header="0.31496062992125984" footer="0.31496062992125984"/>
  <pageSetup paperSize="9" scale="74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pageSetUpPr fitToPage="1"/>
  </sheetPr>
  <dimension ref="A1:BA76"/>
  <sheetViews>
    <sheetView showGridLines="0" tabSelected="1" zoomScaleNormal="100" zoomScaleSheetLayoutView="100" workbookViewId="0">
      <selection activeCell="X19" sqref="X19"/>
    </sheetView>
  </sheetViews>
  <sheetFormatPr defaultColWidth="11.44140625" defaultRowHeight="13.2" x14ac:dyDescent="0.25"/>
  <cols>
    <col min="1" max="4" width="2.33203125" customWidth="1"/>
    <col min="5" max="5" width="3.44140625" customWidth="1"/>
    <col min="6" max="8" width="2.33203125" customWidth="1"/>
    <col min="9" max="9" width="3.33203125" customWidth="1"/>
    <col min="10" max="25" width="2.33203125" customWidth="1"/>
    <col min="26" max="26" width="1.44140625" customWidth="1"/>
    <col min="27" max="45" width="2.33203125" customWidth="1"/>
    <col min="46" max="46" width="2.109375" customWidth="1"/>
  </cols>
  <sheetData>
    <row r="1" spans="1:53" ht="17.7" customHeight="1" x14ac:dyDescent="0.25">
      <c r="A1" s="226" t="e" vm="1">
        <f>_xlfn.IMAGE(TDados[logoCliente])</f>
        <v>#VALUE!</v>
      </c>
      <c r="B1" s="227"/>
      <c r="C1" s="227"/>
      <c r="D1" s="227"/>
      <c r="E1" s="227"/>
      <c r="F1" s="227"/>
      <c r="G1" s="227"/>
      <c r="H1" s="227"/>
      <c r="I1" s="227"/>
      <c r="J1" s="227"/>
      <c r="K1" s="236" t="s">
        <v>0</v>
      </c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8"/>
      <c r="X1" s="234" t="s">
        <v>15</v>
      </c>
      <c r="Y1" s="235"/>
      <c r="Z1" s="244" t="str">
        <f>"FD-"&amp;Config!D2&amp;"-"&amp;Config!F2&amp;"-001"</f>
        <v>FD---001</v>
      </c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4"/>
      <c r="AP1" s="244"/>
      <c r="AQ1" s="244"/>
      <c r="AR1" s="244"/>
      <c r="AS1" s="244"/>
      <c r="AT1" s="245"/>
    </row>
    <row r="2" spans="1:53" ht="17.7" customHeight="1" x14ac:dyDescent="0.25">
      <c r="A2" s="228"/>
      <c r="B2" s="229"/>
      <c r="C2" s="229"/>
      <c r="D2" s="229"/>
      <c r="E2" s="229"/>
      <c r="F2" s="229"/>
      <c r="G2" s="229"/>
      <c r="H2" s="229"/>
      <c r="I2" s="229"/>
      <c r="J2" s="229"/>
      <c r="K2" s="232" t="s">
        <v>16</v>
      </c>
      <c r="L2" s="233"/>
      <c r="M2" s="233"/>
      <c r="N2" s="233"/>
      <c r="O2" s="246" t="s">
        <v>153</v>
      </c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7"/>
    </row>
    <row r="3" spans="1:53" ht="17.7" customHeight="1" x14ac:dyDescent="0.25">
      <c r="A3" s="176" t="e" vm="1">
        <f t="shared" ref="A3" si="0">_xlfn.IMAGE("https://technikgrupo.sharepoint.com/sites/transfer/Logos/Technik.png")</f>
        <v>#VALUE!</v>
      </c>
      <c r="B3" s="177"/>
      <c r="C3" s="177"/>
      <c r="D3" s="177"/>
      <c r="E3" s="177"/>
      <c r="F3" s="177"/>
      <c r="G3" s="177"/>
      <c r="H3" s="177"/>
      <c r="I3" s="177"/>
      <c r="J3" s="178"/>
      <c r="K3" s="230" t="s">
        <v>18</v>
      </c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7"/>
    </row>
    <row r="4" spans="1:53" ht="17.7" customHeight="1" thickBot="1" x14ac:dyDescent="0.3">
      <c r="A4" s="179"/>
      <c r="B4" s="180"/>
      <c r="C4" s="180"/>
      <c r="D4" s="180"/>
      <c r="E4" s="180"/>
      <c r="F4" s="180"/>
      <c r="G4" s="180"/>
      <c r="H4" s="180"/>
      <c r="I4" s="180"/>
      <c r="J4" s="181"/>
      <c r="K4" s="231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9"/>
    </row>
    <row r="5" spans="1:53" x14ac:dyDescent="0.25">
      <c r="A5" s="5"/>
      <c r="B5" s="6"/>
      <c r="C5" s="7">
        <v>1</v>
      </c>
      <c r="D5" s="8"/>
      <c r="E5" s="9" t="s">
        <v>19</v>
      </c>
      <c r="F5" s="9"/>
      <c r="G5" s="9"/>
      <c r="H5" s="9"/>
      <c r="I5" s="9"/>
      <c r="J5" s="9"/>
      <c r="K5" s="9"/>
      <c r="L5" s="9"/>
      <c r="M5" s="9"/>
      <c r="N5" s="9"/>
      <c r="O5" s="10"/>
      <c r="P5" s="11"/>
      <c r="Q5" s="9"/>
      <c r="R5" s="9" t="s">
        <v>20</v>
      </c>
      <c r="S5" s="9"/>
      <c r="T5" s="9"/>
      <c r="U5" s="9"/>
      <c r="V5" s="9"/>
      <c r="W5" s="9"/>
      <c r="X5" s="9"/>
      <c r="Y5" s="9"/>
      <c r="Z5" s="9" t="s">
        <v>21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65"/>
    </row>
    <row r="6" spans="1:53" x14ac:dyDescent="0.25">
      <c r="A6" s="5"/>
      <c r="B6" s="6"/>
      <c r="C6" s="7" t="s">
        <v>17</v>
      </c>
      <c r="D6" s="8"/>
      <c r="E6" s="9" t="s">
        <v>22</v>
      </c>
      <c r="F6" s="9"/>
      <c r="G6" s="9"/>
      <c r="H6" s="9"/>
      <c r="I6" s="9"/>
      <c r="J6" s="9"/>
      <c r="K6" s="9"/>
      <c r="L6" s="9"/>
      <c r="M6" s="9"/>
      <c r="N6" s="9"/>
      <c r="O6" s="10"/>
      <c r="P6" s="11"/>
      <c r="Q6" s="9"/>
      <c r="R6" s="9" t="s">
        <v>23</v>
      </c>
      <c r="S6" s="9"/>
      <c r="T6" s="9"/>
      <c r="U6" s="9"/>
      <c r="V6" s="9"/>
      <c r="W6" s="9"/>
      <c r="X6" s="9"/>
      <c r="Y6" s="9"/>
      <c r="Z6" s="9" t="s">
        <v>24</v>
      </c>
      <c r="AA6" s="9"/>
      <c r="AB6" s="9"/>
      <c r="AC6" s="9"/>
      <c r="AD6" s="9"/>
      <c r="AE6" s="9" t="s">
        <v>25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65"/>
    </row>
    <row r="7" spans="1:53" x14ac:dyDescent="0.25">
      <c r="A7" s="5"/>
      <c r="B7" s="6"/>
      <c r="C7" s="90"/>
      <c r="D7" s="12"/>
      <c r="E7" s="91" t="s">
        <v>26</v>
      </c>
      <c r="F7" s="91"/>
      <c r="G7" s="91"/>
      <c r="H7" s="91"/>
      <c r="I7" s="91"/>
      <c r="J7" s="13"/>
      <c r="K7" s="9" t="s">
        <v>154</v>
      </c>
      <c r="L7" s="9"/>
      <c r="M7" s="9"/>
      <c r="N7" s="14"/>
      <c r="O7" s="10"/>
      <c r="P7" s="11"/>
      <c r="Q7" s="9"/>
      <c r="R7" s="9" t="s">
        <v>27</v>
      </c>
      <c r="S7" s="9"/>
      <c r="T7" s="9"/>
      <c r="U7" s="9"/>
      <c r="V7" s="9"/>
      <c r="W7" s="9"/>
      <c r="X7" s="9"/>
      <c r="Y7" s="9"/>
      <c r="Z7" s="9" t="s">
        <v>28</v>
      </c>
      <c r="AA7" s="9"/>
      <c r="AB7" s="9"/>
      <c r="AC7" s="9"/>
      <c r="AD7" s="9"/>
      <c r="AE7" s="9" t="s">
        <v>29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65"/>
    </row>
    <row r="8" spans="1:53" x14ac:dyDescent="0.25">
      <c r="A8" s="5"/>
      <c r="B8" s="6"/>
      <c r="C8" s="90" t="s">
        <v>30</v>
      </c>
      <c r="D8" s="12"/>
      <c r="E8" s="91" t="s">
        <v>31</v>
      </c>
      <c r="F8" s="91"/>
      <c r="G8" s="91"/>
      <c r="H8" s="91"/>
      <c r="I8" s="91"/>
      <c r="J8" s="13"/>
      <c r="K8" s="9" t="s">
        <v>32</v>
      </c>
      <c r="L8" s="9"/>
      <c r="M8" s="9"/>
      <c r="N8" s="14"/>
      <c r="O8" s="10"/>
      <c r="P8" s="11"/>
      <c r="Q8" s="9"/>
      <c r="R8" s="9" t="s">
        <v>33</v>
      </c>
      <c r="S8" s="9"/>
      <c r="T8" s="9"/>
      <c r="U8" s="9"/>
      <c r="V8" s="9"/>
      <c r="W8" s="9"/>
      <c r="X8" s="9"/>
      <c r="Y8" s="9"/>
      <c r="Z8" s="9" t="s">
        <v>34</v>
      </c>
      <c r="AA8" s="9"/>
      <c r="AB8" s="9"/>
      <c r="AC8" s="9"/>
      <c r="AD8" s="9"/>
      <c r="AE8" s="9" t="s">
        <v>35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65"/>
    </row>
    <row r="9" spans="1:53" x14ac:dyDescent="0.25">
      <c r="A9" s="5"/>
      <c r="B9" s="6"/>
      <c r="C9" s="7"/>
      <c r="D9" s="8"/>
      <c r="E9" s="9"/>
      <c r="F9" s="9"/>
      <c r="G9" s="9"/>
      <c r="H9" s="9"/>
      <c r="I9" s="9"/>
      <c r="J9" s="10"/>
      <c r="K9" s="9" t="s">
        <v>36</v>
      </c>
      <c r="L9" s="9"/>
      <c r="M9" s="9"/>
      <c r="N9" s="9"/>
      <c r="O9" s="10"/>
      <c r="P9" s="11"/>
      <c r="Q9" s="9"/>
      <c r="R9" s="9" t="s">
        <v>37</v>
      </c>
      <c r="S9" s="9"/>
      <c r="T9" s="9"/>
      <c r="U9" s="9"/>
      <c r="V9" s="9"/>
      <c r="W9" s="9"/>
      <c r="X9" s="9"/>
      <c r="Y9" s="9"/>
      <c r="Z9" s="9" t="s">
        <v>38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65"/>
    </row>
    <row r="10" spans="1:53" x14ac:dyDescent="0.25">
      <c r="A10" s="5"/>
      <c r="B10" s="6"/>
      <c r="C10" s="7" t="s">
        <v>39</v>
      </c>
      <c r="D10" s="8"/>
      <c r="E10" s="15" t="s">
        <v>40</v>
      </c>
      <c r="F10" s="9"/>
      <c r="G10" s="9"/>
      <c r="H10" s="9"/>
      <c r="I10" s="9"/>
      <c r="J10" s="9"/>
      <c r="K10" s="9"/>
      <c r="L10" s="9"/>
      <c r="M10" s="9"/>
      <c r="N10" s="9"/>
      <c r="O10" s="10"/>
      <c r="P10" s="11"/>
      <c r="Q10" s="9"/>
      <c r="R10" s="9" t="s">
        <v>41</v>
      </c>
      <c r="S10" s="9"/>
      <c r="T10" s="9"/>
      <c r="U10" s="9"/>
      <c r="V10" s="9"/>
      <c r="W10" s="9"/>
      <c r="X10" s="9"/>
      <c r="Y10" s="9"/>
      <c r="Z10" s="9" t="s">
        <v>42</v>
      </c>
      <c r="AA10" s="9"/>
      <c r="AB10" s="9"/>
      <c r="AC10" s="9"/>
      <c r="AD10" s="9"/>
      <c r="AE10" s="9" t="s">
        <v>43</v>
      </c>
      <c r="AF10" s="9"/>
      <c r="AG10" s="9"/>
      <c r="AH10" s="9"/>
      <c r="AI10" s="9"/>
      <c r="AJ10" s="9"/>
      <c r="AK10" s="9"/>
      <c r="AL10" s="9" t="s">
        <v>44</v>
      </c>
      <c r="AM10" s="9"/>
      <c r="AN10" s="9"/>
      <c r="AO10" s="9"/>
      <c r="AP10" s="9"/>
      <c r="AQ10" s="9"/>
      <c r="AR10" s="9"/>
      <c r="AS10" s="9"/>
      <c r="AT10" s="65"/>
    </row>
    <row r="11" spans="1:53" x14ac:dyDescent="0.25">
      <c r="A11" s="5"/>
      <c r="B11" s="6"/>
      <c r="C11" s="7" t="s">
        <v>45</v>
      </c>
      <c r="D11" s="8"/>
      <c r="E11" s="15" t="s">
        <v>46</v>
      </c>
      <c r="F11" s="9"/>
      <c r="G11" s="9"/>
      <c r="H11" s="9"/>
      <c r="I11" s="9"/>
      <c r="J11" s="9"/>
      <c r="K11" s="9"/>
      <c r="L11" s="9"/>
      <c r="M11" s="9"/>
      <c r="N11" s="9"/>
      <c r="O11" s="10"/>
      <c r="P11" s="11"/>
      <c r="Q11" s="9"/>
      <c r="R11" s="9" t="s">
        <v>47</v>
      </c>
      <c r="S11" s="9"/>
      <c r="T11" s="9"/>
      <c r="U11" s="9"/>
      <c r="V11" s="9"/>
      <c r="W11" s="9"/>
      <c r="X11" s="9"/>
      <c r="Y11" s="9"/>
      <c r="Z11" s="9" t="s">
        <v>48</v>
      </c>
      <c r="AA11" s="9"/>
      <c r="AB11" s="9"/>
      <c r="AC11" s="9"/>
      <c r="AD11" s="9"/>
      <c r="AE11" s="9" t="s">
        <v>44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65"/>
    </row>
    <row r="12" spans="1:53" x14ac:dyDescent="0.25">
      <c r="A12" s="5"/>
      <c r="B12" s="6"/>
      <c r="C12" s="7" t="s">
        <v>49</v>
      </c>
      <c r="D12" s="8"/>
      <c r="E12" s="9" t="s">
        <v>50</v>
      </c>
      <c r="F12" s="9"/>
      <c r="G12" s="9"/>
      <c r="H12" s="9"/>
      <c r="I12" s="9"/>
      <c r="J12" s="9"/>
      <c r="K12" s="9"/>
      <c r="L12" s="9"/>
      <c r="M12" s="9"/>
      <c r="N12" s="9"/>
      <c r="O12" s="10"/>
      <c r="P12" s="11"/>
      <c r="Q12" s="9"/>
      <c r="R12" s="9" t="s">
        <v>51</v>
      </c>
      <c r="S12" s="9"/>
      <c r="T12" s="9"/>
      <c r="U12" s="9"/>
      <c r="V12" s="9"/>
      <c r="W12" s="9"/>
      <c r="X12" s="9"/>
      <c r="Y12" s="9"/>
      <c r="Z12" s="9" t="s">
        <v>52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65"/>
    </row>
    <row r="13" spans="1:53" x14ac:dyDescent="0.25">
      <c r="A13" s="5"/>
      <c r="B13" s="6"/>
      <c r="C13" s="7" t="s">
        <v>53</v>
      </c>
      <c r="D13" s="8"/>
      <c r="E13" s="15" t="s">
        <v>54</v>
      </c>
      <c r="F13" s="9"/>
      <c r="G13" s="9"/>
      <c r="H13" s="9"/>
      <c r="I13" s="9"/>
      <c r="J13" s="9"/>
      <c r="K13" s="9"/>
      <c r="L13" s="9"/>
      <c r="M13" s="9"/>
      <c r="N13" s="9"/>
      <c r="O13" s="10"/>
      <c r="P13" s="11"/>
      <c r="Q13" s="9"/>
      <c r="R13" s="9" t="s">
        <v>55</v>
      </c>
      <c r="S13" s="9"/>
      <c r="T13" s="9"/>
      <c r="U13" s="9"/>
      <c r="V13" s="9"/>
      <c r="W13" s="9"/>
      <c r="X13" s="9"/>
      <c r="Y13" s="9"/>
      <c r="Z13" s="9" t="s">
        <v>44</v>
      </c>
      <c r="AA13" s="9"/>
      <c r="AB13" s="9"/>
      <c r="AC13" s="16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65"/>
    </row>
    <row r="14" spans="1:53" x14ac:dyDescent="0.25">
      <c r="A14" s="5"/>
      <c r="B14" s="6"/>
      <c r="C14" s="7" t="s">
        <v>56</v>
      </c>
      <c r="D14" s="8"/>
      <c r="E14" s="9" t="s">
        <v>57</v>
      </c>
      <c r="F14" s="9"/>
      <c r="G14" s="9"/>
      <c r="H14" s="9"/>
      <c r="I14" s="9"/>
      <c r="J14" s="9"/>
      <c r="K14" s="9"/>
      <c r="L14" s="9"/>
      <c r="M14" s="9"/>
      <c r="N14" s="9"/>
      <c r="O14" s="10"/>
      <c r="P14" s="11"/>
      <c r="Q14" s="9"/>
      <c r="R14" s="9" t="s">
        <v>58</v>
      </c>
      <c r="S14" s="9"/>
      <c r="T14" s="9"/>
      <c r="U14" s="9"/>
      <c r="V14" s="9"/>
      <c r="W14" s="9"/>
      <c r="X14" s="9"/>
      <c r="Y14" s="9"/>
      <c r="Z14" s="9" t="s">
        <v>59</v>
      </c>
      <c r="AA14" s="9"/>
      <c r="AB14" s="9"/>
      <c r="AC14" s="16"/>
      <c r="AD14" s="9"/>
      <c r="AE14" s="9" t="s">
        <v>60</v>
      </c>
      <c r="AF14" s="9"/>
      <c r="AG14" s="9"/>
      <c r="AH14" s="9"/>
      <c r="AI14" s="9"/>
      <c r="AJ14" s="9"/>
      <c r="AK14" s="9"/>
      <c r="AL14" s="9" t="s">
        <v>44</v>
      </c>
      <c r="AM14" s="9"/>
      <c r="AN14" s="9"/>
      <c r="AO14" s="9"/>
      <c r="AP14" s="9"/>
      <c r="AQ14" s="9"/>
      <c r="AR14" s="9"/>
      <c r="AS14" s="9"/>
      <c r="AT14" s="65"/>
    </row>
    <row r="15" spans="1:53" x14ac:dyDescent="0.25">
      <c r="A15" s="5"/>
      <c r="B15" s="6"/>
      <c r="C15" s="7" t="s">
        <v>61</v>
      </c>
      <c r="D15" s="8"/>
      <c r="E15" s="15" t="s">
        <v>62</v>
      </c>
      <c r="F15" s="9"/>
      <c r="G15" s="9"/>
      <c r="H15" s="9"/>
      <c r="I15" s="9"/>
      <c r="J15" s="9"/>
      <c r="K15" s="9"/>
      <c r="L15" s="9"/>
      <c r="M15" s="9"/>
      <c r="N15" s="9"/>
      <c r="O15" s="10"/>
      <c r="P15" s="11"/>
      <c r="Q15" s="9"/>
      <c r="R15" s="9" t="s">
        <v>63</v>
      </c>
      <c r="S15" s="9"/>
      <c r="T15" s="9"/>
      <c r="U15" s="9"/>
      <c r="V15" s="9"/>
      <c r="W15" s="9"/>
      <c r="X15" s="9"/>
      <c r="Y15" s="9"/>
      <c r="Z15" s="9" t="s">
        <v>64</v>
      </c>
      <c r="AA15" s="9"/>
      <c r="AB15" s="9"/>
      <c r="AC15" s="9"/>
      <c r="AD15" s="9"/>
      <c r="AE15" s="9" t="s">
        <v>65</v>
      </c>
      <c r="AF15" s="9"/>
      <c r="AG15" s="9"/>
      <c r="AH15" s="9"/>
      <c r="AI15" s="9"/>
      <c r="AJ15" s="9"/>
      <c r="AK15" s="9"/>
      <c r="AL15" s="9" t="s">
        <v>44</v>
      </c>
      <c r="AM15" s="9"/>
      <c r="AN15" s="9"/>
      <c r="AO15" s="9"/>
      <c r="AP15" s="9"/>
      <c r="AQ15" s="9"/>
      <c r="AR15" s="9"/>
      <c r="AS15" s="9"/>
      <c r="AT15" s="65"/>
      <c r="AY15" s="82"/>
      <c r="AZ15" s="82"/>
      <c r="BA15" s="82"/>
    </row>
    <row r="16" spans="1:53" x14ac:dyDescent="0.25">
      <c r="A16" s="5"/>
      <c r="B16" s="6"/>
      <c r="C16" s="7" t="s">
        <v>66</v>
      </c>
      <c r="D16" s="8"/>
      <c r="E16" s="15" t="s">
        <v>67</v>
      </c>
      <c r="F16" s="9"/>
      <c r="G16" s="9"/>
      <c r="H16" s="9"/>
      <c r="I16" s="9"/>
      <c r="J16" s="9"/>
      <c r="K16" s="9"/>
      <c r="L16" s="9"/>
      <c r="M16" s="9"/>
      <c r="N16" s="9"/>
      <c r="O16" s="10"/>
      <c r="P16" s="11"/>
      <c r="Q16" s="9"/>
      <c r="R16" s="9" t="s">
        <v>63</v>
      </c>
      <c r="S16" s="9"/>
      <c r="T16" s="9"/>
      <c r="U16" s="9"/>
      <c r="V16" s="9"/>
      <c r="W16" s="9"/>
      <c r="X16" s="9"/>
      <c r="Y16" s="9"/>
      <c r="Z16" s="9" t="s">
        <v>64</v>
      </c>
      <c r="AA16" s="9"/>
      <c r="AB16" s="9"/>
      <c r="AC16" s="16"/>
      <c r="AD16" s="9"/>
      <c r="AE16" s="9" t="s">
        <v>65</v>
      </c>
      <c r="AF16" s="9"/>
      <c r="AG16" s="9"/>
      <c r="AH16" s="9"/>
      <c r="AI16" s="9"/>
      <c r="AJ16" s="9"/>
      <c r="AK16" s="9"/>
      <c r="AL16" s="9" t="s">
        <v>44</v>
      </c>
      <c r="AM16" s="9"/>
      <c r="AN16" s="9"/>
      <c r="AO16" s="9"/>
      <c r="AP16" s="9"/>
      <c r="AQ16" s="9"/>
      <c r="AR16" s="9"/>
      <c r="AS16" s="9"/>
      <c r="AT16" s="65"/>
      <c r="AY16" s="82"/>
      <c r="AZ16" s="82"/>
      <c r="BA16" s="82"/>
    </row>
    <row r="17" spans="1:53" x14ac:dyDescent="0.25">
      <c r="A17" s="5"/>
      <c r="B17" s="6"/>
      <c r="C17" s="7" t="s">
        <v>68</v>
      </c>
      <c r="D17" s="8"/>
      <c r="E17" s="15" t="s">
        <v>69</v>
      </c>
      <c r="F17" s="9"/>
      <c r="G17" s="9"/>
      <c r="H17" s="9"/>
      <c r="I17" s="9"/>
      <c r="J17" s="9"/>
      <c r="K17" s="9"/>
      <c r="L17" s="9"/>
      <c r="M17" s="9"/>
      <c r="N17" s="9"/>
      <c r="O17" s="10"/>
      <c r="P17" s="11"/>
      <c r="Q17" s="9"/>
      <c r="R17" s="9" t="s">
        <v>70</v>
      </c>
      <c r="S17" s="9"/>
      <c r="T17" s="9"/>
      <c r="U17" s="9"/>
      <c r="V17" s="9"/>
      <c r="W17" s="9"/>
      <c r="X17" s="9"/>
      <c r="Y17" s="9"/>
      <c r="Z17" s="9" t="s">
        <v>71</v>
      </c>
      <c r="AA17" s="9"/>
      <c r="AB17" s="9"/>
      <c r="AC17" s="9"/>
      <c r="AD17" s="9"/>
      <c r="AE17" s="9" t="s">
        <v>72</v>
      </c>
      <c r="AF17" s="9"/>
      <c r="AG17" s="9"/>
      <c r="AH17" s="9"/>
      <c r="AI17" s="9"/>
      <c r="AJ17" s="9"/>
      <c r="AK17" s="9"/>
      <c r="AL17" s="9" t="s">
        <v>73</v>
      </c>
      <c r="AM17" s="9"/>
      <c r="AN17" s="9"/>
      <c r="AO17" s="9"/>
      <c r="AP17" s="9"/>
      <c r="AQ17" s="9"/>
      <c r="AR17" s="9"/>
      <c r="AS17" s="9"/>
      <c r="AT17" s="65"/>
      <c r="AY17" s="82"/>
      <c r="AZ17" s="82"/>
      <c r="BA17" s="82"/>
    </row>
    <row r="18" spans="1:53" x14ac:dyDescent="0.25">
      <c r="A18" s="5"/>
      <c r="B18" s="6"/>
      <c r="C18" s="7" t="s">
        <v>74</v>
      </c>
      <c r="D18" s="8"/>
      <c r="E18" s="9" t="s">
        <v>75</v>
      </c>
      <c r="F18" s="9"/>
      <c r="G18" s="9"/>
      <c r="H18" s="9"/>
      <c r="I18" s="9"/>
      <c r="J18" s="9"/>
      <c r="K18" s="9"/>
      <c r="L18" s="9"/>
      <c r="M18" s="9"/>
      <c r="N18" s="9"/>
      <c r="O18" s="10"/>
      <c r="P18" s="11"/>
      <c r="Q18" s="9"/>
      <c r="R18" s="9" t="s">
        <v>76</v>
      </c>
      <c r="S18" s="9"/>
      <c r="T18" s="9"/>
      <c r="U18" s="9"/>
      <c r="V18" s="9"/>
      <c r="W18" s="9"/>
      <c r="X18" s="9"/>
      <c r="Y18" s="9"/>
      <c r="Z18" s="9" t="s">
        <v>77</v>
      </c>
      <c r="AA18" s="9"/>
      <c r="AB18" s="9"/>
      <c r="AC18" s="9"/>
      <c r="AD18" s="9"/>
      <c r="AE18" s="9" t="s">
        <v>78</v>
      </c>
      <c r="AF18" s="9"/>
      <c r="AG18" s="9"/>
      <c r="AH18" s="9"/>
      <c r="AI18" s="9"/>
      <c r="AJ18" s="9"/>
      <c r="AK18" s="9"/>
      <c r="AL18" s="9" t="s">
        <v>44</v>
      </c>
      <c r="AM18" s="9"/>
      <c r="AN18" s="9"/>
      <c r="AO18" s="9"/>
      <c r="AP18" s="9"/>
      <c r="AQ18" s="9"/>
      <c r="AR18" s="9"/>
      <c r="AS18" s="9"/>
      <c r="AT18" s="65"/>
      <c r="AY18" s="82"/>
      <c r="AZ18" s="82"/>
      <c r="BA18" s="82"/>
    </row>
    <row r="19" spans="1:53" x14ac:dyDescent="0.25">
      <c r="A19" s="17"/>
      <c r="B19" s="18"/>
      <c r="C19" s="19" t="s">
        <v>79</v>
      </c>
      <c r="D19" s="20"/>
      <c r="E19" s="21" t="s">
        <v>80</v>
      </c>
      <c r="F19" s="21"/>
      <c r="G19" s="21"/>
      <c r="H19" s="21"/>
      <c r="I19" s="21"/>
      <c r="J19" s="21"/>
      <c r="K19" s="21"/>
      <c r="L19" s="21"/>
      <c r="M19" s="21"/>
      <c r="N19" s="21"/>
      <c r="O19" s="22"/>
      <c r="P19" s="23"/>
      <c r="Q19" s="21"/>
      <c r="R19" s="21" t="s">
        <v>81</v>
      </c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66"/>
      <c r="AY19" s="82"/>
      <c r="AZ19" s="82"/>
      <c r="BA19" s="82"/>
    </row>
    <row r="20" spans="1:53" x14ac:dyDescent="0.25">
      <c r="A20" s="5"/>
      <c r="B20" s="6"/>
      <c r="C20" s="90"/>
      <c r="D20" s="12"/>
      <c r="E20" s="92"/>
      <c r="F20" s="93"/>
      <c r="G20" s="93"/>
      <c r="H20" s="71"/>
      <c r="I20" s="9" t="s">
        <v>82</v>
      </c>
      <c r="J20" s="9"/>
      <c r="K20" s="9"/>
      <c r="L20" s="9"/>
      <c r="M20" s="9"/>
      <c r="N20" s="9"/>
      <c r="O20" s="10"/>
      <c r="P20" s="11"/>
      <c r="Q20" s="9"/>
      <c r="R20" s="9" t="s">
        <v>76</v>
      </c>
      <c r="S20" s="9"/>
      <c r="T20" s="9"/>
      <c r="U20" s="9"/>
      <c r="V20" s="9"/>
      <c r="W20" s="9"/>
      <c r="X20" s="9"/>
      <c r="Y20" s="9"/>
      <c r="Z20" s="9" t="s">
        <v>83</v>
      </c>
      <c r="AA20" s="9"/>
      <c r="AB20" s="9"/>
      <c r="AC20" s="9"/>
      <c r="AD20" s="9"/>
      <c r="AE20" s="9" t="s">
        <v>78</v>
      </c>
      <c r="AF20" s="9"/>
      <c r="AG20" s="9"/>
      <c r="AH20" s="9"/>
      <c r="AI20" s="9"/>
      <c r="AJ20" s="9"/>
      <c r="AK20" s="9"/>
      <c r="AL20" s="9" t="s">
        <v>84</v>
      </c>
      <c r="AM20" s="9"/>
      <c r="AN20" s="9"/>
      <c r="AO20" s="9"/>
      <c r="AP20" s="9"/>
      <c r="AQ20" s="9"/>
      <c r="AR20" s="9"/>
      <c r="AS20" s="9"/>
      <c r="AT20" s="65"/>
      <c r="AY20" s="82"/>
      <c r="AZ20" s="82"/>
      <c r="BA20" s="82"/>
    </row>
    <row r="21" spans="1:53" x14ac:dyDescent="0.25">
      <c r="A21" s="5"/>
      <c r="B21" s="6"/>
      <c r="C21" s="90"/>
      <c r="D21" s="12"/>
      <c r="E21" s="93"/>
      <c r="F21" s="93"/>
      <c r="G21" s="93"/>
      <c r="H21" s="71"/>
      <c r="I21" s="9" t="s">
        <v>85</v>
      </c>
      <c r="J21" s="9"/>
      <c r="K21" s="9"/>
      <c r="L21" s="9"/>
      <c r="M21" s="9"/>
      <c r="N21" s="9"/>
      <c r="O21" s="10"/>
      <c r="P21" s="11"/>
      <c r="Q21" s="9"/>
      <c r="R21" s="9" t="s">
        <v>76</v>
      </c>
      <c r="S21" s="9"/>
      <c r="T21" s="9"/>
      <c r="U21" s="9"/>
      <c r="V21" s="9"/>
      <c r="W21" s="9"/>
      <c r="X21" s="9"/>
      <c r="Y21" s="9"/>
      <c r="Z21" s="9" t="s">
        <v>64</v>
      </c>
      <c r="AA21" s="9"/>
      <c r="AB21" s="9"/>
      <c r="AC21" s="9"/>
      <c r="AD21" s="9"/>
      <c r="AE21" s="9" t="s">
        <v>78</v>
      </c>
      <c r="AF21" s="9"/>
      <c r="AG21" s="9"/>
      <c r="AH21" s="16"/>
      <c r="AI21" s="16"/>
      <c r="AJ21" s="9"/>
      <c r="AK21" s="9"/>
      <c r="AL21" s="9" t="s">
        <v>86</v>
      </c>
      <c r="AM21" s="9"/>
      <c r="AN21" s="9"/>
      <c r="AO21" s="9"/>
      <c r="AP21" s="9"/>
      <c r="AQ21" s="9"/>
      <c r="AR21" s="9"/>
      <c r="AS21" s="9"/>
      <c r="AT21" s="65"/>
      <c r="AY21" s="82"/>
      <c r="AZ21" s="82"/>
      <c r="BA21" s="82"/>
    </row>
    <row r="22" spans="1:53" x14ac:dyDescent="0.25">
      <c r="A22" s="5"/>
      <c r="B22" s="6"/>
      <c r="C22" s="90" t="s">
        <v>87</v>
      </c>
      <c r="D22" s="12"/>
      <c r="E22" s="93" t="s">
        <v>88</v>
      </c>
      <c r="F22" s="93"/>
      <c r="G22" s="93"/>
      <c r="H22" s="71"/>
      <c r="I22" s="9" t="s">
        <v>89</v>
      </c>
      <c r="J22" s="9"/>
      <c r="K22" s="9"/>
      <c r="L22" s="9"/>
      <c r="M22" s="9"/>
      <c r="N22" s="9"/>
      <c r="O22" s="10"/>
      <c r="P22" s="11"/>
      <c r="Q22" s="9"/>
      <c r="R22" s="9" t="s">
        <v>76</v>
      </c>
      <c r="S22" s="9"/>
      <c r="T22" s="9"/>
      <c r="U22" s="9"/>
      <c r="V22" s="9"/>
      <c r="W22" s="9"/>
      <c r="X22" s="9"/>
      <c r="Y22" s="9"/>
      <c r="Z22" s="9" t="s">
        <v>64</v>
      </c>
      <c r="AA22" s="9"/>
      <c r="AB22" s="9"/>
      <c r="AC22" s="9"/>
      <c r="AD22" s="9"/>
      <c r="AE22" s="9" t="s">
        <v>78</v>
      </c>
      <c r="AF22" s="9"/>
      <c r="AG22" s="9"/>
      <c r="AH22" s="9"/>
      <c r="AI22" s="9"/>
      <c r="AJ22" s="9"/>
      <c r="AK22" s="9"/>
      <c r="AL22" s="9" t="s">
        <v>44</v>
      </c>
      <c r="AM22" s="9"/>
      <c r="AN22" s="9"/>
      <c r="AO22" s="9"/>
      <c r="AP22" s="9"/>
      <c r="AQ22" s="9"/>
      <c r="AR22" s="9"/>
      <c r="AS22" s="9"/>
      <c r="AT22" s="65"/>
      <c r="AY22" s="82"/>
      <c r="AZ22" s="82"/>
      <c r="BA22" s="82"/>
    </row>
    <row r="23" spans="1:53" x14ac:dyDescent="0.25">
      <c r="A23" s="5"/>
      <c r="B23" s="6"/>
      <c r="C23" s="90"/>
      <c r="D23" s="12"/>
      <c r="E23" s="94"/>
      <c r="F23" s="93"/>
      <c r="G23" s="93"/>
      <c r="H23" s="71"/>
      <c r="I23" s="24" t="s">
        <v>90</v>
      </c>
      <c r="J23" s="9"/>
      <c r="K23" s="9"/>
      <c r="L23" s="9"/>
      <c r="M23" s="9"/>
      <c r="N23" s="9"/>
      <c r="O23" s="10"/>
      <c r="P23" s="25"/>
      <c r="Q23" s="9"/>
      <c r="R23" s="9" t="s">
        <v>71</v>
      </c>
      <c r="S23" s="9"/>
      <c r="T23" s="9"/>
      <c r="U23" s="9"/>
      <c r="V23" s="9"/>
      <c r="W23" s="9"/>
      <c r="X23" s="9"/>
      <c r="Y23" s="9"/>
      <c r="Z23" s="9" t="s">
        <v>91</v>
      </c>
      <c r="AA23" s="9"/>
      <c r="AB23" s="9"/>
      <c r="AC23" s="9"/>
      <c r="AD23" s="9"/>
      <c r="AE23" s="9" t="s">
        <v>92</v>
      </c>
      <c r="AF23" s="9"/>
      <c r="AG23" s="9"/>
      <c r="AH23" s="9"/>
      <c r="AI23" s="9"/>
      <c r="AJ23" s="9"/>
      <c r="AK23" s="9"/>
      <c r="AL23" s="9" t="s">
        <v>93</v>
      </c>
      <c r="AM23" s="9"/>
      <c r="AN23" s="9"/>
      <c r="AO23" s="9"/>
      <c r="AP23" s="9"/>
      <c r="AQ23" s="9"/>
      <c r="AR23" s="9"/>
      <c r="AS23" s="9"/>
      <c r="AT23" s="65"/>
      <c r="AX23" s="82"/>
      <c r="AY23" s="82"/>
      <c r="AZ23" s="82"/>
      <c r="BA23" s="82"/>
    </row>
    <row r="24" spans="1:53" x14ac:dyDescent="0.25">
      <c r="A24" s="5"/>
      <c r="B24" s="6"/>
      <c r="C24" s="7"/>
      <c r="D24" s="8"/>
      <c r="E24" s="72"/>
      <c r="F24" s="72"/>
      <c r="G24" s="72"/>
      <c r="H24" s="73"/>
      <c r="I24" s="9" t="s">
        <v>94</v>
      </c>
      <c r="J24" s="9"/>
      <c r="K24" s="9"/>
      <c r="L24" s="9"/>
      <c r="M24" s="9"/>
      <c r="N24" s="9"/>
      <c r="O24" s="10"/>
      <c r="P24" s="11"/>
      <c r="Q24" s="9"/>
      <c r="R24" s="9" t="s">
        <v>95</v>
      </c>
      <c r="S24" s="9"/>
      <c r="T24" s="9"/>
      <c r="U24" s="9"/>
      <c r="V24" s="9"/>
      <c r="W24" s="9"/>
      <c r="X24" s="9"/>
      <c r="Y24" s="9"/>
      <c r="Z24" s="9" t="s">
        <v>96</v>
      </c>
      <c r="AA24" s="9"/>
      <c r="AB24" s="9"/>
      <c r="AC24" s="9"/>
      <c r="AD24" s="9"/>
      <c r="AE24" s="9" t="s">
        <v>97</v>
      </c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65"/>
    </row>
    <row r="25" spans="1:53" x14ac:dyDescent="0.25">
      <c r="A25" s="5"/>
      <c r="B25" s="6"/>
      <c r="C25" s="7" t="s">
        <v>98</v>
      </c>
      <c r="D25" s="8"/>
      <c r="E25" s="15" t="s">
        <v>99</v>
      </c>
      <c r="F25" s="9"/>
      <c r="G25" s="9"/>
      <c r="H25" s="9"/>
      <c r="I25" s="9"/>
      <c r="J25" s="9"/>
      <c r="K25" s="9"/>
      <c r="L25" s="9"/>
      <c r="M25" s="9"/>
      <c r="N25" s="9"/>
      <c r="O25" s="10"/>
      <c r="P25" s="11"/>
      <c r="Q25" s="9"/>
      <c r="R25" s="9" t="s">
        <v>100</v>
      </c>
      <c r="S25" s="9"/>
      <c r="T25" s="9"/>
      <c r="U25" s="9"/>
      <c r="V25" s="9"/>
      <c r="W25" s="9"/>
      <c r="X25" s="9"/>
      <c r="Y25" s="9"/>
      <c r="Z25" s="9" t="s">
        <v>101</v>
      </c>
      <c r="AA25" s="9"/>
      <c r="AB25" s="9"/>
      <c r="AC25" s="9"/>
      <c r="AD25" s="9"/>
      <c r="AE25" s="9" t="s">
        <v>102</v>
      </c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65"/>
    </row>
    <row r="26" spans="1:53" x14ac:dyDescent="0.25">
      <c r="A26" s="5"/>
      <c r="B26" s="95"/>
      <c r="C26" s="26" t="s">
        <v>103</v>
      </c>
      <c r="D26" s="74"/>
      <c r="E26" s="72" t="s">
        <v>104</v>
      </c>
      <c r="F26" s="72"/>
      <c r="G26" s="72"/>
      <c r="H26" s="72"/>
      <c r="I26" s="72"/>
      <c r="J26" s="72"/>
      <c r="K26" s="72"/>
      <c r="L26" s="72"/>
      <c r="M26" s="72"/>
      <c r="N26" s="72"/>
      <c r="O26" s="10"/>
      <c r="P26" s="11"/>
      <c r="Q26" s="9"/>
      <c r="R26" s="9" t="s">
        <v>95</v>
      </c>
      <c r="S26" s="9"/>
      <c r="T26" s="9"/>
      <c r="U26" s="9"/>
      <c r="V26" s="9"/>
      <c r="W26" s="9"/>
      <c r="X26" s="9"/>
      <c r="Y26" s="9"/>
      <c r="Z26" s="9" t="s">
        <v>96</v>
      </c>
      <c r="AA26" s="9"/>
      <c r="AB26" s="9"/>
      <c r="AC26" s="9"/>
      <c r="AD26" s="9"/>
      <c r="AE26" s="9" t="s">
        <v>44</v>
      </c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65"/>
    </row>
    <row r="27" spans="1:53" x14ac:dyDescent="0.25">
      <c r="A27" s="5"/>
      <c r="B27" s="95"/>
      <c r="C27" s="26" t="s">
        <v>105</v>
      </c>
      <c r="D27" s="74"/>
      <c r="E27" s="72" t="s">
        <v>106</v>
      </c>
      <c r="F27" s="72"/>
      <c r="G27" s="72"/>
      <c r="H27" s="72"/>
      <c r="I27" s="72"/>
      <c r="J27" s="72"/>
      <c r="K27" s="72"/>
      <c r="L27" s="72"/>
      <c r="M27" s="72"/>
      <c r="N27" s="72"/>
      <c r="O27" s="10"/>
      <c r="P27" s="11"/>
      <c r="Q27" s="9"/>
      <c r="R27" s="9" t="s">
        <v>81</v>
      </c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65"/>
    </row>
    <row r="28" spans="1:53" x14ac:dyDescent="0.25">
      <c r="A28" s="17"/>
      <c r="B28" s="18"/>
      <c r="C28" s="19" t="s">
        <v>107</v>
      </c>
      <c r="D28" s="20"/>
      <c r="E28" s="27" t="s">
        <v>108</v>
      </c>
      <c r="F28" s="21"/>
      <c r="G28" s="21"/>
      <c r="H28" s="21"/>
      <c r="I28" s="21"/>
      <c r="J28" s="21"/>
      <c r="K28" s="21"/>
      <c r="L28" s="21"/>
      <c r="M28" s="21"/>
      <c r="N28" s="21"/>
      <c r="O28" s="22"/>
      <c r="P28" s="23"/>
      <c r="Q28" s="21"/>
      <c r="R28" s="21" t="s">
        <v>81</v>
      </c>
      <c r="S28" s="28"/>
      <c r="T28" s="28"/>
      <c r="U28" s="28"/>
      <c r="V28" s="28"/>
      <c r="W28" s="28"/>
      <c r="X28" s="28"/>
      <c r="Y28" s="28"/>
      <c r="Z28" s="4"/>
      <c r="AA28" s="21"/>
      <c r="AB28" s="21"/>
      <c r="AC28" s="21"/>
      <c r="AD28" s="21"/>
      <c r="AE28" s="21"/>
      <c r="AF28" s="21"/>
      <c r="AG28" s="21"/>
      <c r="AH28" s="21"/>
      <c r="AI28" s="21"/>
      <c r="AJ28" s="4"/>
      <c r="AK28" s="21"/>
      <c r="AL28" s="21"/>
      <c r="AM28" s="21"/>
      <c r="AN28" s="21"/>
      <c r="AO28" s="21"/>
      <c r="AP28" s="21"/>
      <c r="AQ28" s="21"/>
      <c r="AR28" s="21"/>
      <c r="AS28" s="21"/>
      <c r="AT28" s="66"/>
    </row>
    <row r="29" spans="1:53" ht="13.8" thickBot="1" x14ac:dyDescent="0.3">
      <c r="A29" s="29"/>
      <c r="B29" s="2"/>
      <c r="C29" s="30"/>
      <c r="D29" s="30"/>
      <c r="E29" s="3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2"/>
      <c r="Q29" s="33"/>
      <c r="R29" s="33"/>
      <c r="S29" s="33"/>
      <c r="T29" s="33"/>
      <c r="U29" s="33"/>
      <c r="V29" s="33"/>
      <c r="W29" s="33"/>
      <c r="X29" s="33"/>
      <c r="Y29" s="33"/>
      <c r="Z29" s="32"/>
      <c r="AA29" s="31"/>
      <c r="AB29" s="31"/>
      <c r="AC29" s="31"/>
      <c r="AD29" s="31"/>
      <c r="AE29" s="31"/>
      <c r="AF29" s="31"/>
      <c r="AG29" s="31"/>
      <c r="AH29" s="31"/>
      <c r="AI29" s="31"/>
      <c r="AJ29" s="32"/>
      <c r="AK29" s="31"/>
      <c r="AL29" s="31"/>
      <c r="AM29" s="31"/>
      <c r="AN29" s="31"/>
      <c r="AO29" s="31"/>
      <c r="AP29" s="31"/>
      <c r="AQ29" s="31"/>
      <c r="AR29" s="31"/>
      <c r="AS29" s="31"/>
      <c r="AT29" s="67"/>
    </row>
    <row r="30" spans="1:53" x14ac:dyDescent="0.25">
      <c r="A30" s="48"/>
      <c r="B30" s="49"/>
      <c r="C30" s="50" t="s">
        <v>109</v>
      </c>
      <c r="D30" s="51"/>
      <c r="E30" s="52" t="s">
        <v>110</v>
      </c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77"/>
      <c r="Q30" s="206" t="s">
        <v>155</v>
      </c>
      <c r="R30" s="207"/>
      <c r="S30" s="207"/>
      <c r="T30" s="207"/>
      <c r="U30" s="207"/>
      <c r="V30" s="207"/>
      <c r="W30" s="207"/>
      <c r="X30" s="207"/>
      <c r="Y30" s="207"/>
      <c r="Z30" s="208"/>
      <c r="AA30" s="206" t="s">
        <v>157</v>
      </c>
      <c r="AB30" s="207"/>
      <c r="AC30" s="207"/>
      <c r="AD30" s="207"/>
      <c r="AE30" s="207"/>
      <c r="AF30" s="207"/>
      <c r="AG30" s="207"/>
      <c r="AH30" s="207"/>
      <c r="AI30" s="207"/>
      <c r="AJ30" s="208"/>
      <c r="AK30" s="206" t="s">
        <v>169</v>
      </c>
      <c r="AL30" s="207"/>
      <c r="AM30" s="207"/>
      <c r="AN30" s="207"/>
      <c r="AO30" s="207"/>
      <c r="AP30" s="207"/>
      <c r="AQ30" s="207"/>
      <c r="AR30" s="207"/>
      <c r="AS30" s="207"/>
      <c r="AT30" s="208"/>
    </row>
    <row r="31" spans="1:53" ht="12.75" customHeight="1" x14ac:dyDescent="0.25">
      <c r="A31" s="5"/>
      <c r="B31" s="95"/>
      <c r="C31" s="34"/>
      <c r="D31" s="12"/>
      <c r="E31" s="96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78"/>
      <c r="Q31" s="187" t="s">
        <v>156</v>
      </c>
      <c r="R31" s="188"/>
      <c r="S31" s="188"/>
      <c r="T31" s="188"/>
      <c r="U31" s="188"/>
      <c r="V31" s="188"/>
      <c r="W31" s="188"/>
      <c r="X31" s="188"/>
      <c r="Y31" s="188"/>
      <c r="Z31" s="189"/>
      <c r="AA31" s="187" t="s">
        <v>158</v>
      </c>
      <c r="AB31" s="188"/>
      <c r="AC31" s="188"/>
      <c r="AD31" s="188"/>
      <c r="AE31" s="188"/>
      <c r="AF31" s="188"/>
      <c r="AG31" s="188"/>
      <c r="AH31" s="188"/>
      <c r="AI31" s="188"/>
      <c r="AJ31" s="189"/>
      <c r="AK31" s="187" t="s">
        <v>170</v>
      </c>
      <c r="AL31" s="188"/>
      <c r="AM31" s="188"/>
      <c r="AN31" s="188"/>
      <c r="AO31" s="188"/>
      <c r="AP31" s="188"/>
      <c r="AQ31" s="188"/>
      <c r="AR31" s="188"/>
      <c r="AS31" s="188"/>
      <c r="AT31" s="189"/>
    </row>
    <row r="32" spans="1:53" x14ac:dyDescent="0.25">
      <c r="A32" s="5"/>
      <c r="B32" s="95"/>
      <c r="C32" s="34" t="s">
        <v>111</v>
      </c>
      <c r="D32" s="12"/>
      <c r="E32" s="96" t="s">
        <v>112</v>
      </c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78"/>
      <c r="Q32" s="190"/>
      <c r="R32" s="191"/>
      <c r="S32" s="191"/>
      <c r="T32" s="191"/>
      <c r="U32" s="191"/>
      <c r="V32" s="191"/>
      <c r="W32" s="191"/>
      <c r="X32" s="191"/>
      <c r="Y32" s="191"/>
      <c r="Z32" s="192"/>
      <c r="AA32" s="190"/>
      <c r="AB32" s="191"/>
      <c r="AC32" s="191"/>
      <c r="AD32" s="191"/>
      <c r="AE32" s="191"/>
      <c r="AF32" s="191"/>
      <c r="AG32" s="191"/>
      <c r="AH32" s="191"/>
      <c r="AI32" s="191"/>
      <c r="AJ32" s="192"/>
      <c r="AK32" s="190"/>
      <c r="AL32" s="191"/>
      <c r="AM32" s="191"/>
      <c r="AN32" s="191"/>
      <c r="AO32" s="191"/>
      <c r="AP32" s="191"/>
      <c r="AQ32" s="191"/>
      <c r="AR32" s="191"/>
      <c r="AS32" s="191"/>
      <c r="AT32" s="192"/>
    </row>
    <row r="33" spans="1:46" ht="18" customHeight="1" x14ac:dyDescent="0.25">
      <c r="A33" s="17"/>
      <c r="B33" s="1"/>
      <c r="C33" s="36"/>
      <c r="D33" s="20"/>
      <c r="E33" s="27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79"/>
      <c r="Q33" s="193"/>
      <c r="R33" s="194"/>
      <c r="S33" s="194"/>
      <c r="T33" s="194"/>
      <c r="U33" s="194"/>
      <c r="V33" s="194"/>
      <c r="W33" s="194"/>
      <c r="X33" s="194"/>
      <c r="Y33" s="194"/>
      <c r="Z33" s="195"/>
      <c r="AA33" s="193"/>
      <c r="AB33" s="194"/>
      <c r="AC33" s="194"/>
      <c r="AD33" s="194"/>
      <c r="AE33" s="194"/>
      <c r="AF33" s="194"/>
      <c r="AG33" s="194"/>
      <c r="AH33" s="194"/>
      <c r="AI33" s="194"/>
      <c r="AJ33" s="195"/>
      <c r="AK33" s="193"/>
      <c r="AL33" s="194"/>
      <c r="AM33" s="194"/>
      <c r="AN33" s="194"/>
      <c r="AO33" s="194"/>
      <c r="AP33" s="194"/>
      <c r="AQ33" s="194"/>
      <c r="AR33" s="194"/>
      <c r="AS33" s="194"/>
      <c r="AT33" s="195"/>
    </row>
    <row r="34" spans="1:46" x14ac:dyDescent="0.25">
      <c r="A34" s="202"/>
      <c r="B34" s="203"/>
      <c r="C34" s="26" t="s">
        <v>113</v>
      </c>
      <c r="D34" s="8"/>
      <c r="E34" s="15" t="s">
        <v>114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80"/>
      <c r="Q34" s="196" t="s">
        <v>159</v>
      </c>
      <c r="R34" s="239"/>
      <c r="S34" s="239"/>
      <c r="T34" s="239"/>
      <c r="U34" s="239"/>
      <c r="V34" s="239"/>
      <c r="W34" s="239"/>
      <c r="X34" s="239"/>
      <c r="Y34" s="239"/>
      <c r="Z34" s="240"/>
      <c r="AA34" s="241" t="s">
        <v>159</v>
      </c>
      <c r="AB34" s="242"/>
      <c r="AC34" s="242"/>
      <c r="AD34" s="242"/>
      <c r="AE34" s="242"/>
      <c r="AF34" s="242"/>
      <c r="AG34" s="242"/>
      <c r="AH34" s="242"/>
      <c r="AI34" s="242"/>
      <c r="AJ34" s="243"/>
      <c r="AK34" s="196" t="s">
        <v>159</v>
      </c>
      <c r="AL34" s="239"/>
      <c r="AM34" s="239"/>
      <c r="AN34" s="239"/>
      <c r="AO34" s="239"/>
      <c r="AP34" s="239"/>
      <c r="AQ34" s="239"/>
      <c r="AR34" s="239"/>
      <c r="AS34" s="239"/>
      <c r="AT34" s="240"/>
    </row>
    <row r="35" spans="1:46" x14ac:dyDescent="0.25">
      <c r="A35" s="204"/>
      <c r="B35" s="205"/>
      <c r="C35" s="26" t="s">
        <v>115</v>
      </c>
      <c r="D35" s="8"/>
      <c r="E35" s="15" t="s">
        <v>116</v>
      </c>
      <c r="F35" s="9"/>
      <c r="G35" s="9"/>
      <c r="H35" s="9"/>
      <c r="I35" s="9"/>
      <c r="J35" s="9"/>
      <c r="K35" s="9"/>
      <c r="L35" s="9"/>
      <c r="M35" s="9"/>
      <c r="N35" s="9"/>
      <c r="O35" s="9"/>
      <c r="P35" s="80"/>
      <c r="Q35" s="182" t="s">
        <v>160</v>
      </c>
      <c r="R35" s="183"/>
      <c r="S35" s="183"/>
      <c r="T35" s="183"/>
      <c r="U35" s="183"/>
      <c r="V35" s="183"/>
      <c r="W35" s="183"/>
      <c r="X35" s="183"/>
      <c r="Y35" s="183"/>
      <c r="Z35" s="186"/>
      <c r="AA35" s="182" t="s">
        <v>160</v>
      </c>
      <c r="AB35" s="183"/>
      <c r="AC35" s="183"/>
      <c r="AD35" s="183"/>
      <c r="AE35" s="183"/>
      <c r="AF35" s="183"/>
      <c r="AG35" s="183"/>
      <c r="AH35" s="183"/>
      <c r="AI35" s="183"/>
      <c r="AJ35" s="186"/>
      <c r="AK35" s="182" t="s">
        <v>163</v>
      </c>
      <c r="AL35" s="183"/>
      <c r="AM35" s="183"/>
      <c r="AN35" s="183"/>
      <c r="AO35" s="183"/>
      <c r="AP35" s="183"/>
      <c r="AQ35" s="183"/>
      <c r="AR35" s="183"/>
      <c r="AS35" s="183"/>
      <c r="AT35" s="186"/>
    </row>
    <row r="36" spans="1:46" x14ac:dyDescent="0.25">
      <c r="A36" s="204"/>
      <c r="B36" s="205"/>
      <c r="C36" s="26" t="s">
        <v>117</v>
      </c>
      <c r="D36" s="8"/>
      <c r="E36" s="15" t="s">
        <v>118</v>
      </c>
      <c r="F36" s="9"/>
      <c r="G36" s="9"/>
      <c r="H36" s="9"/>
      <c r="I36" s="9"/>
      <c r="J36" s="10"/>
      <c r="K36" s="9" t="s">
        <v>119</v>
      </c>
      <c r="L36" s="9"/>
      <c r="M36" s="9"/>
      <c r="N36" s="9"/>
      <c r="O36" s="9"/>
      <c r="P36" s="80"/>
      <c r="Q36" s="199">
        <v>1.9</v>
      </c>
      <c r="R36" s="200"/>
      <c r="S36" s="200"/>
      <c r="T36" s="200"/>
      <c r="U36" s="201"/>
      <c r="V36" s="185">
        <v>10</v>
      </c>
      <c r="W36" s="183"/>
      <c r="X36" s="183"/>
      <c r="Y36" s="183"/>
      <c r="Z36" s="186"/>
      <c r="AA36" s="199">
        <v>5.0999999999999996</v>
      </c>
      <c r="AB36" s="200"/>
      <c r="AC36" s="200"/>
      <c r="AD36" s="200"/>
      <c r="AE36" s="201"/>
      <c r="AF36" s="185">
        <v>10</v>
      </c>
      <c r="AG36" s="183"/>
      <c r="AH36" s="183"/>
      <c r="AI36" s="183"/>
      <c r="AJ36" s="186"/>
      <c r="AK36" s="199">
        <v>1.9</v>
      </c>
      <c r="AL36" s="200"/>
      <c r="AM36" s="200"/>
      <c r="AN36" s="200"/>
      <c r="AO36" s="201"/>
      <c r="AP36" s="185">
        <v>10</v>
      </c>
      <c r="AQ36" s="183"/>
      <c r="AR36" s="183"/>
      <c r="AS36" s="183"/>
      <c r="AT36" s="186"/>
    </row>
    <row r="37" spans="1:46" x14ac:dyDescent="0.25">
      <c r="A37" s="204"/>
      <c r="B37" s="205"/>
      <c r="C37" s="26" t="s">
        <v>120</v>
      </c>
      <c r="D37" s="8"/>
      <c r="E37" s="24" t="s">
        <v>121</v>
      </c>
      <c r="F37" s="9"/>
      <c r="G37" s="9"/>
      <c r="H37" s="9"/>
      <c r="I37" s="9"/>
      <c r="J37" s="10"/>
      <c r="K37" s="9" t="s">
        <v>122</v>
      </c>
      <c r="L37" s="9"/>
      <c r="M37" s="9"/>
      <c r="N37" s="9"/>
      <c r="O37" s="9"/>
      <c r="P37" s="80"/>
      <c r="Q37" s="182">
        <v>25</v>
      </c>
      <c r="R37" s="183"/>
      <c r="S37" s="183"/>
      <c r="T37" s="183"/>
      <c r="U37" s="184"/>
      <c r="V37" s="185">
        <v>55</v>
      </c>
      <c r="W37" s="183"/>
      <c r="X37" s="183"/>
      <c r="Y37" s="183"/>
      <c r="Z37" s="186"/>
      <c r="AA37" s="199">
        <v>25</v>
      </c>
      <c r="AB37" s="200"/>
      <c r="AC37" s="200"/>
      <c r="AD37" s="200"/>
      <c r="AE37" s="201"/>
      <c r="AF37" s="185">
        <v>55</v>
      </c>
      <c r="AG37" s="183"/>
      <c r="AH37" s="183"/>
      <c r="AI37" s="183"/>
      <c r="AJ37" s="186"/>
      <c r="AK37" s="182">
        <v>25</v>
      </c>
      <c r="AL37" s="183"/>
      <c r="AM37" s="183"/>
      <c r="AN37" s="183"/>
      <c r="AO37" s="184"/>
      <c r="AP37" s="185">
        <v>55</v>
      </c>
      <c r="AQ37" s="183"/>
      <c r="AR37" s="183"/>
      <c r="AS37" s="183"/>
      <c r="AT37" s="186"/>
    </row>
    <row r="38" spans="1:46" x14ac:dyDescent="0.25">
      <c r="A38" s="204"/>
      <c r="B38" s="205"/>
      <c r="C38" s="26" t="s">
        <v>123</v>
      </c>
      <c r="D38" s="8"/>
      <c r="E38" s="15" t="s">
        <v>124</v>
      </c>
      <c r="F38" s="9"/>
      <c r="G38" s="9"/>
      <c r="H38" s="9"/>
      <c r="I38" s="9"/>
      <c r="J38" s="64"/>
      <c r="K38" s="9" t="s">
        <v>125</v>
      </c>
      <c r="L38" s="9"/>
      <c r="M38" s="9"/>
      <c r="N38" s="9"/>
      <c r="O38" s="9"/>
      <c r="P38" s="80"/>
      <c r="Q38" s="182" t="s">
        <v>126</v>
      </c>
      <c r="R38" s="183"/>
      <c r="S38" s="183"/>
      <c r="T38" s="183"/>
      <c r="U38" s="184"/>
      <c r="V38" s="185" t="s">
        <v>126</v>
      </c>
      <c r="W38" s="183"/>
      <c r="X38" s="183"/>
      <c r="Y38" s="183"/>
      <c r="Z38" s="186"/>
      <c r="AA38" s="199" t="s">
        <v>126</v>
      </c>
      <c r="AB38" s="200"/>
      <c r="AC38" s="200"/>
      <c r="AD38" s="200"/>
      <c r="AE38" s="201"/>
      <c r="AF38" s="185" t="s">
        <v>126</v>
      </c>
      <c r="AG38" s="183"/>
      <c r="AH38" s="183"/>
      <c r="AI38" s="183"/>
      <c r="AJ38" s="186"/>
      <c r="AK38" s="182" t="s">
        <v>126</v>
      </c>
      <c r="AL38" s="183"/>
      <c r="AM38" s="183"/>
      <c r="AN38" s="183"/>
      <c r="AO38" s="184"/>
      <c r="AP38" s="185" t="s">
        <v>126</v>
      </c>
      <c r="AQ38" s="183"/>
      <c r="AR38" s="183"/>
      <c r="AS38" s="183"/>
      <c r="AT38" s="186"/>
    </row>
    <row r="39" spans="1:46" x14ac:dyDescent="0.25">
      <c r="A39" s="204"/>
      <c r="B39" s="205"/>
      <c r="C39" s="36" t="s">
        <v>127</v>
      </c>
      <c r="D39" s="20"/>
      <c r="E39" s="39" t="s">
        <v>128</v>
      </c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79"/>
      <c r="Q39" s="212" t="s">
        <v>152</v>
      </c>
      <c r="R39" s="213"/>
      <c r="S39" s="213"/>
      <c r="T39" s="213"/>
      <c r="U39" s="213"/>
      <c r="V39" s="213"/>
      <c r="W39" s="213"/>
      <c r="X39" s="213"/>
      <c r="Y39" s="213"/>
      <c r="Z39" s="214"/>
      <c r="AA39" s="212" t="s">
        <v>152</v>
      </c>
      <c r="AB39" s="213"/>
      <c r="AC39" s="213"/>
      <c r="AD39" s="213"/>
      <c r="AE39" s="213"/>
      <c r="AF39" s="213"/>
      <c r="AG39" s="213"/>
      <c r="AH39" s="213"/>
      <c r="AI39" s="213"/>
      <c r="AJ39" s="214"/>
      <c r="AK39" s="212" t="s">
        <v>152</v>
      </c>
      <c r="AL39" s="213"/>
      <c r="AM39" s="213"/>
      <c r="AN39" s="213"/>
      <c r="AO39" s="213"/>
      <c r="AP39" s="213"/>
      <c r="AQ39" s="213"/>
      <c r="AR39" s="213"/>
      <c r="AS39" s="213"/>
      <c r="AT39" s="214"/>
    </row>
    <row r="40" spans="1:46" x14ac:dyDescent="0.25">
      <c r="A40" s="204"/>
      <c r="B40" s="205"/>
      <c r="C40" s="26" t="s">
        <v>129</v>
      </c>
      <c r="D40" s="8"/>
      <c r="E40" s="9" t="s">
        <v>130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80"/>
      <c r="Q40" s="209" t="s">
        <v>126</v>
      </c>
      <c r="R40" s="210"/>
      <c r="S40" s="210"/>
      <c r="T40" s="210"/>
      <c r="U40" s="210"/>
      <c r="V40" s="210"/>
      <c r="W40" s="210"/>
      <c r="X40" s="210"/>
      <c r="Y40" s="210"/>
      <c r="Z40" s="211"/>
      <c r="AA40" s="209" t="s">
        <v>126</v>
      </c>
      <c r="AB40" s="210"/>
      <c r="AC40" s="210"/>
      <c r="AD40" s="210"/>
      <c r="AE40" s="210"/>
      <c r="AF40" s="210"/>
      <c r="AG40" s="210"/>
      <c r="AH40" s="210"/>
      <c r="AI40" s="210"/>
      <c r="AJ40" s="211"/>
      <c r="AK40" s="209" t="s">
        <v>126</v>
      </c>
      <c r="AL40" s="210"/>
      <c r="AM40" s="210"/>
      <c r="AN40" s="210"/>
      <c r="AO40" s="210"/>
      <c r="AP40" s="210"/>
      <c r="AQ40" s="210"/>
      <c r="AR40" s="210"/>
      <c r="AS40" s="210"/>
      <c r="AT40" s="211"/>
    </row>
    <row r="41" spans="1:46" ht="13.8" thickBot="1" x14ac:dyDescent="0.3">
      <c r="A41" s="29"/>
      <c r="B41" s="2"/>
      <c r="C41" s="55" t="s">
        <v>131</v>
      </c>
      <c r="D41" s="56"/>
      <c r="E41" s="31" t="s">
        <v>99</v>
      </c>
      <c r="F41" s="31"/>
      <c r="G41" s="31"/>
      <c r="H41" s="31"/>
      <c r="I41" s="57"/>
      <c r="J41" s="31"/>
      <c r="K41" s="31"/>
      <c r="L41" s="31"/>
      <c r="M41" s="31"/>
      <c r="N41" s="31"/>
      <c r="O41" s="31"/>
      <c r="P41" s="81"/>
      <c r="Q41" s="215" t="s">
        <v>151</v>
      </c>
      <c r="R41" s="216"/>
      <c r="S41" s="216"/>
      <c r="T41" s="216"/>
      <c r="U41" s="216"/>
      <c r="V41" s="216"/>
      <c r="W41" s="216"/>
      <c r="X41" s="216"/>
      <c r="Y41" s="216"/>
      <c r="Z41" s="217"/>
      <c r="AA41" s="215" t="s">
        <v>151</v>
      </c>
      <c r="AB41" s="216"/>
      <c r="AC41" s="216"/>
      <c r="AD41" s="216"/>
      <c r="AE41" s="216"/>
      <c r="AF41" s="216"/>
      <c r="AG41" s="216"/>
      <c r="AH41" s="216"/>
      <c r="AI41" s="216"/>
      <c r="AJ41" s="217"/>
      <c r="AK41" s="215" t="s">
        <v>151</v>
      </c>
      <c r="AL41" s="216"/>
      <c r="AM41" s="216"/>
      <c r="AN41" s="216"/>
      <c r="AO41" s="216"/>
      <c r="AP41" s="216"/>
      <c r="AQ41" s="216"/>
      <c r="AR41" s="216"/>
      <c r="AS41" s="216"/>
      <c r="AT41" s="217"/>
    </row>
    <row r="42" spans="1:46" ht="13.8" thickBot="1" x14ac:dyDescent="0.3">
      <c r="A42" s="5"/>
      <c r="B42" s="95"/>
      <c r="C42" s="90"/>
      <c r="D42" s="90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8"/>
      <c r="AR42" s="98"/>
      <c r="AS42" s="98"/>
      <c r="AT42" s="76"/>
    </row>
    <row r="43" spans="1:46" x14ac:dyDescent="0.25">
      <c r="A43" s="48"/>
      <c r="B43" s="49"/>
      <c r="C43" s="50" t="s">
        <v>132</v>
      </c>
      <c r="D43" s="51"/>
      <c r="E43" s="52" t="s">
        <v>110</v>
      </c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4"/>
      <c r="Q43" s="206" t="s">
        <v>167</v>
      </c>
      <c r="R43" s="207"/>
      <c r="S43" s="207"/>
      <c r="T43" s="207"/>
      <c r="U43" s="207"/>
      <c r="V43" s="207"/>
      <c r="W43" s="207"/>
      <c r="X43" s="207"/>
      <c r="Y43" s="207"/>
      <c r="Z43" s="208"/>
      <c r="AA43" s="206" t="s">
        <v>162</v>
      </c>
      <c r="AB43" s="207"/>
      <c r="AC43" s="207"/>
      <c r="AD43" s="207"/>
      <c r="AE43" s="207"/>
      <c r="AF43" s="207"/>
      <c r="AG43" s="207"/>
      <c r="AH43" s="207"/>
      <c r="AI43" s="207"/>
      <c r="AJ43" s="208"/>
      <c r="AK43" s="222" t="s">
        <v>164</v>
      </c>
      <c r="AL43" s="222"/>
      <c r="AM43" s="222"/>
      <c r="AN43" s="222"/>
      <c r="AO43" s="222"/>
      <c r="AP43" s="222"/>
      <c r="AQ43" s="222"/>
      <c r="AR43" s="222"/>
      <c r="AS43" s="222"/>
      <c r="AT43" s="223"/>
    </row>
    <row r="44" spans="1:46" ht="12.75" customHeight="1" x14ac:dyDescent="0.25">
      <c r="A44" s="5"/>
      <c r="B44" s="95"/>
      <c r="C44" s="34"/>
      <c r="D44" s="12"/>
      <c r="E44" s="96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5"/>
      <c r="Q44" s="187" t="s">
        <v>168</v>
      </c>
      <c r="R44" s="188"/>
      <c r="S44" s="188"/>
      <c r="T44" s="188"/>
      <c r="U44" s="188"/>
      <c r="V44" s="188"/>
      <c r="W44" s="188"/>
      <c r="X44" s="188"/>
      <c r="Y44" s="188"/>
      <c r="Z44" s="189"/>
      <c r="AA44" s="187" t="s">
        <v>161</v>
      </c>
      <c r="AB44" s="188"/>
      <c r="AC44" s="188"/>
      <c r="AD44" s="188"/>
      <c r="AE44" s="188"/>
      <c r="AF44" s="188"/>
      <c r="AG44" s="188"/>
      <c r="AH44" s="188"/>
      <c r="AI44" s="188"/>
      <c r="AJ44" s="189"/>
      <c r="AK44" s="187" t="s">
        <v>165</v>
      </c>
      <c r="AL44" s="188"/>
      <c r="AM44" s="188"/>
      <c r="AN44" s="188"/>
      <c r="AO44" s="188"/>
      <c r="AP44" s="188"/>
      <c r="AQ44" s="188"/>
      <c r="AR44" s="188"/>
      <c r="AS44" s="188"/>
      <c r="AT44" s="189"/>
    </row>
    <row r="45" spans="1:46" ht="12.75" customHeight="1" x14ac:dyDescent="0.25">
      <c r="A45" s="5"/>
      <c r="B45" s="95"/>
      <c r="C45" s="34" t="s">
        <v>133</v>
      </c>
      <c r="D45" s="12"/>
      <c r="E45" s="96" t="s">
        <v>112</v>
      </c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35"/>
      <c r="Q45" s="190"/>
      <c r="R45" s="191"/>
      <c r="S45" s="191"/>
      <c r="T45" s="191"/>
      <c r="U45" s="191"/>
      <c r="V45" s="191"/>
      <c r="W45" s="191"/>
      <c r="X45" s="191"/>
      <c r="Y45" s="191"/>
      <c r="Z45" s="192"/>
      <c r="AA45" s="190"/>
      <c r="AB45" s="191"/>
      <c r="AC45" s="191"/>
      <c r="AD45" s="191"/>
      <c r="AE45" s="191"/>
      <c r="AF45" s="191"/>
      <c r="AG45" s="191"/>
      <c r="AH45" s="191"/>
      <c r="AI45" s="191"/>
      <c r="AJ45" s="192"/>
      <c r="AK45" s="190"/>
      <c r="AL45" s="191"/>
      <c r="AM45" s="191"/>
      <c r="AN45" s="191"/>
      <c r="AO45" s="191"/>
      <c r="AP45" s="191"/>
      <c r="AQ45" s="191"/>
      <c r="AR45" s="191"/>
      <c r="AS45" s="191"/>
      <c r="AT45" s="192"/>
    </row>
    <row r="46" spans="1:46" ht="30.75" customHeight="1" x14ac:dyDescent="0.25">
      <c r="A46" s="17"/>
      <c r="B46" s="1"/>
      <c r="C46" s="36"/>
      <c r="D46" s="20"/>
      <c r="E46" s="27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37"/>
      <c r="Q46" s="193"/>
      <c r="R46" s="194"/>
      <c r="S46" s="194"/>
      <c r="T46" s="194"/>
      <c r="U46" s="194"/>
      <c r="V46" s="194"/>
      <c r="W46" s="194"/>
      <c r="X46" s="194"/>
      <c r="Y46" s="194"/>
      <c r="Z46" s="195"/>
      <c r="AA46" s="193"/>
      <c r="AB46" s="194"/>
      <c r="AC46" s="194"/>
      <c r="AD46" s="194"/>
      <c r="AE46" s="194"/>
      <c r="AF46" s="194"/>
      <c r="AG46" s="194"/>
      <c r="AH46" s="194"/>
      <c r="AI46" s="194"/>
      <c r="AJ46" s="195"/>
      <c r="AK46" s="193"/>
      <c r="AL46" s="194"/>
      <c r="AM46" s="194"/>
      <c r="AN46" s="194"/>
      <c r="AO46" s="194"/>
      <c r="AP46" s="194"/>
      <c r="AQ46" s="194"/>
      <c r="AR46" s="194"/>
      <c r="AS46" s="194"/>
      <c r="AT46" s="195"/>
    </row>
    <row r="47" spans="1:46" x14ac:dyDescent="0.25">
      <c r="A47" s="5"/>
      <c r="B47" s="95"/>
      <c r="C47" s="26" t="s">
        <v>134</v>
      </c>
      <c r="D47" s="8"/>
      <c r="E47" s="15" t="s">
        <v>114</v>
      </c>
      <c r="F47" s="9"/>
      <c r="G47" s="9"/>
      <c r="H47" s="9"/>
      <c r="I47" s="9"/>
      <c r="J47" s="9"/>
      <c r="K47" s="9"/>
      <c r="L47" s="9"/>
      <c r="M47" s="9"/>
      <c r="N47" s="9"/>
      <c r="O47" s="9"/>
      <c r="P47" s="38"/>
      <c r="Q47" s="196" t="s">
        <v>159</v>
      </c>
      <c r="R47" s="239"/>
      <c r="S47" s="239"/>
      <c r="T47" s="239"/>
      <c r="U47" s="239"/>
      <c r="V47" s="239"/>
      <c r="W47" s="239"/>
      <c r="X47" s="239"/>
      <c r="Y47" s="239"/>
      <c r="Z47" s="240"/>
      <c r="AA47" s="196" t="s">
        <v>159</v>
      </c>
      <c r="AB47" s="197"/>
      <c r="AC47" s="197"/>
      <c r="AD47" s="197"/>
      <c r="AE47" s="197"/>
      <c r="AF47" s="197"/>
      <c r="AG47" s="197"/>
      <c r="AH47" s="197"/>
      <c r="AI47" s="197"/>
      <c r="AJ47" s="198"/>
      <c r="AK47" s="224" t="s">
        <v>159</v>
      </c>
      <c r="AL47" s="224"/>
      <c r="AM47" s="224"/>
      <c r="AN47" s="224"/>
      <c r="AO47" s="224"/>
      <c r="AP47" s="224"/>
      <c r="AQ47" s="224"/>
      <c r="AR47" s="224"/>
      <c r="AS47" s="224"/>
      <c r="AT47" s="225"/>
    </row>
    <row r="48" spans="1:46" x14ac:dyDescent="0.25">
      <c r="A48" s="5"/>
      <c r="B48" s="95"/>
      <c r="C48" s="26" t="s">
        <v>135</v>
      </c>
      <c r="D48" s="8"/>
      <c r="E48" s="15" t="s">
        <v>116</v>
      </c>
      <c r="F48" s="9"/>
      <c r="G48" s="9"/>
      <c r="H48" s="9"/>
      <c r="I48" s="9"/>
      <c r="J48" s="9"/>
      <c r="K48" s="9"/>
      <c r="L48" s="9"/>
      <c r="M48" s="9"/>
      <c r="N48" s="9"/>
      <c r="O48" s="9"/>
      <c r="P48" s="38"/>
      <c r="Q48" s="182" t="s">
        <v>163</v>
      </c>
      <c r="R48" s="183"/>
      <c r="S48" s="183"/>
      <c r="T48" s="183"/>
      <c r="U48" s="183"/>
      <c r="V48" s="183"/>
      <c r="W48" s="183"/>
      <c r="X48" s="183"/>
      <c r="Y48" s="183"/>
      <c r="Z48" s="186"/>
      <c r="AA48" s="182" t="s">
        <v>166</v>
      </c>
      <c r="AB48" s="183"/>
      <c r="AC48" s="183"/>
      <c r="AD48" s="183"/>
      <c r="AE48" s="183"/>
      <c r="AF48" s="183"/>
      <c r="AG48" s="183"/>
      <c r="AH48" s="183"/>
      <c r="AI48" s="183"/>
      <c r="AJ48" s="186"/>
      <c r="AK48" s="183" t="s">
        <v>166</v>
      </c>
      <c r="AL48" s="183"/>
      <c r="AM48" s="183"/>
      <c r="AN48" s="183"/>
      <c r="AO48" s="183"/>
      <c r="AP48" s="183"/>
      <c r="AQ48" s="183"/>
      <c r="AR48" s="183"/>
      <c r="AS48" s="183"/>
      <c r="AT48" s="186"/>
    </row>
    <row r="49" spans="1:46" x14ac:dyDescent="0.25">
      <c r="A49" s="5"/>
      <c r="B49" s="95"/>
      <c r="C49" s="26" t="s">
        <v>136</v>
      </c>
      <c r="D49" s="8"/>
      <c r="E49" s="15" t="s">
        <v>118</v>
      </c>
      <c r="F49" s="9"/>
      <c r="G49" s="9"/>
      <c r="H49" s="9"/>
      <c r="I49" s="9"/>
      <c r="J49" s="10"/>
      <c r="K49" s="9" t="s">
        <v>119</v>
      </c>
      <c r="L49" s="9"/>
      <c r="M49" s="9"/>
      <c r="N49" s="9"/>
      <c r="O49" s="9"/>
      <c r="P49" s="38"/>
      <c r="Q49" s="199">
        <v>5.7</v>
      </c>
      <c r="R49" s="200"/>
      <c r="S49" s="200"/>
      <c r="T49" s="200"/>
      <c r="U49" s="201"/>
      <c r="V49" s="185">
        <v>10</v>
      </c>
      <c r="W49" s="183"/>
      <c r="X49" s="183"/>
      <c r="Y49" s="183"/>
      <c r="Z49" s="186"/>
      <c r="AA49" s="199">
        <v>2.2000000000000002</v>
      </c>
      <c r="AB49" s="200"/>
      <c r="AC49" s="200"/>
      <c r="AD49" s="200"/>
      <c r="AE49" s="201"/>
      <c r="AF49" s="185">
        <v>10</v>
      </c>
      <c r="AG49" s="183"/>
      <c r="AH49" s="183"/>
      <c r="AI49" s="183"/>
      <c r="AJ49" s="186"/>
      <c r="AK49" s="218">
        <v>4.0999999999999996</v>
      </c>
      <c r="AL49" s="219"/>
      <c r="AM49" s="219"/>
      <c r="AN49" s="219"/>
      <c r="AO49" s="219"/>
      <c r="AP49" s="220">
        <v>10</v>
      </c>
      <c r="AQ49" s="220"/>
      <c r="AR49" s="220"/>
      <c r="AS49" s="220"/>
      <c r="AT49" s="221"/>
    </row>
    <row r="50" spans="1:46" x14ac:dyDescent="0.25">
      <c r="A50" s="5"/>
      <c r="B50" s="95"/>
      <c r="C50" s="26" t="s">
        <v>137</v>
      </c>
      <c r="D50" s="8"/>
      <c r="E50" s="15" t="s">
        <v>121</v>
      </c>
      <c r="F50" s="9"/>
      <c r="G50" s="9"/>
      <c r="H50" s="9"/>
      <c r="I50" s="9"/>
      <c r="J50" s="10"/>
      <c r="K50" s="9" t="s">
        <v>122</v>
      </c>
      <c r="L50" s="9"/>
      <c r="M50" s="9"/>
      <c r="N50" s="9"/>
      <c r="O50" s="9"/>
      <c r="P50" s="38"/>
      <c r="Q50" s="182">
        <v>25</v>
      </c>
      <c r="R50" s="183"/>
      <c r="S50" s="183"/>
      <c r="T50" s="183"/>
      <c r="U50" s="184"/>
      <c r="V50" s="185">
        <v>55</v>
      </c>
      <c r="W50" s="183"/>
      <c r="X50" s="183"/>
      <c r="Y50" s="183"/>
      <c r="Z50" s="186"/>
      <c r="AA50" s="182">
        <v>25</v>
      </c>
      <c r="AB50" s="183"/>
      <c r="AC50" s="183"/>
      <c r="AD50" s="183"/>
      <c r="AE50" s="184"/>
      <c r="AF50" s="185">
        <v>55</v>
      </c>
      <c r="AG50" s="183"/>
      <c r="AH50" s="183"/>
      <c r="AI50" s="183"/>
      <c r="AJ50" s="186"/>
      <c r="AK50" s="218">
        <v>50</v>
      </c>
      <c r="AL50" s="219"/>
      <c r="AM50" s="219"/>
      <c r="AN50" s="219"/>
      <c r="AO50" s="219"/>
      <c r="AP50" s="220">
        <v>80</v>
      </c>
      <c r="AQ50" s="220"/>
      <c r="AR50" s="220"/>
      <c r="AS50" s="220"/>
      <c r="AT50" s="221"/>
    </row>
    <row r="51" spans="1:46" x14ac:dyDescent="0.25">
      <c r="A51" s="5"/>
      <c r="B51" s="95"/>
      <c r="C51" s="26" t="s">
        <v>138</v>
      </c>
      <c r="D51" s="8"/>
      <c r="E51" s="15" t="s">
        <v>124</v>
      </c>
      <c r="F51" s="9"/>
      <c r="G51" s="9"/>
      <c r="H51" s="9"/>
      <c r="I51" s="9"/>
      <c r="J51" s="10"/>
      <c r="K51" s="9" t="s">
        <v>125</v>
      </c>
      <c r="L51" s="9"/>
      <c r="M51" s="9"/>
      <c r="N51" s="9"/>
      <c r="O51" s="9"/>
      <c r="P51" s="38"/>
      <c r="Q51" s="182" t="s">
        <v>126</v>
      </c>
      <c r="R51" s="183"/>
      <c r="S51" s="183"/>
      <c r="T51" s="183"/>
      <c r="U51" s="184"/>
      <c r="V51" s="185" t="s">
        <v>126</v>
      </c>
      <c r="W51" s="183"/>
      <c r="X51" s="183"/>
      <c r="Y51" s="183"/>
      <c r="Z51" s="186"/>
      <c r="AA51" s="182" t="s">
        <v>126</v>
      </c>
      <c r="AB51" s="183"/>
      <c r="AC51" s="183"/>
      <c r="AD51" s="183"/>
      <c r="AE51" s="184"/>
      <c r="AF51" s="185" t="s">
        <v>126</v>
      </c>
      <c r="AG51" s="183"/>
      <c r="AH51" s="183"/>
      <c r="AI51" s="183"/>
      <c r="AJ51" s="186"/>
      <c r="AK51" s="218" t="s">
        <v>126</v>
      </c>
      <c r="AL51" s="219"/>
      <c r="AM51" s="219"/>
      <c r="AN51" s="219"/>
      <c r="AO51" s="219"/>
      <c r="AP51" s="220" t="s">
        <v>126</v>
      </c>
      <c r="AQ51" s="220"/>
      <c r="AR51" s="220"/>
      <c r="AS51" s="220"/>
      <c r="AT51" s="221"/>
    </row>
    <row r="52" spans="1:46" x14ac:dyDescent="0.25">
      <c r="A52" s="17"/>
      <c r="B52" s="1"/>
      <c r="C52" s="36" t="s">
        <v>139</v>
      </c>
      <c r="D52" s="20"/>
      <c r="E52" s="39" t="s">
        <v>140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37"/>
      <c r="Q52" s="212" t="s">
        <v>152</v>
      </c>
      <c r="R52" s="213"/>
      <c r="S52" s="213"/>
      <c r="T52" s="213"/>
      <c r="U52" s="213"/>
      <c r="V52" s="213"/>
      <c r="W52" s="213"/>
      <c r="X52" s="213"/>
      <c r="Y52" s="213"/>
      <c r="Z52" s="214"/>
      <c r="AA52" s="212" t="s">
        <v>152</v>
      </c>
      <c r="AB52" s="213"/>
      <c r="AC52" s="213"/>
      <c r="AD52" s="213"/>
      <c r="AE52" s="213"/>
      <c r="AF52" s="213"/>
      <c r="AG52" s="213"/>
      <c r="AH52" s="213"/>
      <c r="AI52" s="213"/>
      <c r="AJ52" s="214"/>
      <c r="AK52" s="213" t="s">
        <v>152</v>
      </c>
      <c r="AL52" s="213"/>
      <c r="AM52" s="213"/>
      <c r="AN52" s="213"/>
      <c r="AO52" s="213"/>
      <c r="AP52" s="213"/>
      <c r="AQ52" s="213"/>
      <c r="AR52" s="213"/>
      <c r="AS52" s="213"/>
      <c r="AT52" s="214"/>
    </row>
    <row r="53" spans="1:46" x14ac:dyDescent="0.25">
      <c r="A53" s="5"/>
      <c r="B53" s="95"/>
      <c r="C53" s="26" t="s">
        <v>141</v>
      </c>
      <c r="D53" s="8"/>
      <c r="E53" s="9" t="s">
        <v>130</v>
      </c>
      <c r="F53" s="9"/>
      <c r="G53" s="9"/>
      <c r="H53" s="9"/>
      <c r="I53" s="9"/>
      <c r="J53" s="9"/>
      <c r="K53" s="9"/>
      <c r="L53" s="9"/>
      <c r="M53" s="9"/>
      <c r="N53" s="9"/>
      <c r="O53" s="9"/>
      <c r="P53" s="38"/>
      <c r="Q53" s="209" t="s">
        <v>126</v>
      </c>
      <c r="R53" s="210"/>
      <c r="S53" s="210"/>
      <c r="T53" s="210"/>
      <c r="U53" s="210"/>
      <c r="V53" s="210"/>
      <c r="W53" s="210"/>
      <c r="X53" s="210"/>
      <c r="Y53" s="210"/>
      <c r="Z53" s="211"/>
      <c r="AA53" s="248" t="s">
        <v>126</v>
      </c>
      <c r="AB53" s="239"/>
      <c r="AC53" s="239"/>
      <c r="AD53" s="239"/>
      <c r="AE53" s="239"/>
      <c r="AF53" s="239"/>
      <c r="AG53" s="239"/>
      <c r="AH53" s="239"/>
      <c r="AI53" s="239"/>
      <c r="AJ53" s="240"/>
      <c r="AK53" s="239" t="s">
        <v>126</v>
      </c>
      <c r="AL53" s="239"/>
      <c r="AM53" s="239"/>
      <c r="AN53" s="239"/>
      <c r="AO53" s="239"/>
      <c r="AP53" s="239"/>
      <c r="AQ53" s="239"/>
      <c r="AR53" s="239"/>
      <c r="AS53" s="239"/>
      <c r="AT53" s="240"/>
    </row>
    <row r="54" spans="1:46" ht="13.8" thickBot="1" x14ac:dyDescent="0.3">
      <c r="A54" s="29"/>
      <c r="B54" s="2"/>
      <c r="C54" s="55" t="s">
        <v>142</v>
      </c>
      <c r="D54" s="56"/>
      <c r="E54" s="31" t="s">
        <v>99</v>
      </c>
      <c r="F54" s="31"/>
      <c r="G54" s="31"/>
      <c r="H54" s="31"/>
      <c r="I54" s="57"/>
      <c r="J54" s="31"/>
      <c r="K54" s="31"/>
      <c r="L54" s="31"/>
      <c r="M54" s="31"/>
      <c r="N54" s="31"/>
      <c r="O54" s="31"/>
      <c r="P54" s="58"/>
      <c r="Q54" s="215" t="s">
        <v>151</v>
      </c>
      <c r="R54" s="216"/>
      <c r="S54" s="216"/>
      <c r="T54" s="216"/>
      <c r="U54" s="216"/>
      <c r="V54" s="216"/>
      <c r="W54" s="216"/>
      <c r="X54" s="216"/>
      <c r="Y54" s="216"/>
      <c r="Z54" s="217"/>
      <c r="AA54" s="215" t="s">
        <v>151</v>
      </c>
      <c r="AB54" s="216"/>
      <c r="AC54" s="216"/>
      <c r="AD54" s="216"/>
      <c r="AE54" s="216"/>
      <c r="AF54" s="216"/>
      <c r="AG54" s="216"/>
      <c r="AH54" s="216"/>
      <c r="AI54" s="216"/>
      <c r="AJ54" s="217"/>
      <c r="AK54" s="216" t="s">
        <v>151</v>
      </c>
      <c r="AL54" s="216"/>
      <c r="AM54" s="216"/>
      <c r="AN54" s="216"/>
      <c r="AO54" s="216"/>
      <c r="AP54" s="216"/>
      <c r="AQ54" s="216"/>
      <c r="AR54" s="216"/>
      <c r="AS54" s="216"/>
      <c r="AT54" s="217"/>
    </row>
    <row r="55" spans="1:46" x14ac:dyDescent="0.25">
      <c r="A55" s="5"/>
      <c r="B55" s="95"/>
      <c r="C55" s="90"/>
      <c r="D55" s="90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0"/>
      <c r="R55" s="90"/>
      <c r="S55" s="90"/>
      <c r="T55" s="90"/>
      <c r="U55" s="90"/>
      <c r="V55" s="90"/>
      <c r="W55" s="90"/>
      <c r="X55" s="90"/>
      <c r="Y55" s="90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1"/>
      <c r="AL55" s="1"/>
      <c r="AM55" s="1"/>
      <c r="AN55" s="1"/>
      <c r="AO55" s="1"/>
      <c r="AP55" s="1"/>
      <c r="AQ55" s="59"/>
      <c r="AR55" s="59"/>
      <c r="AS55" s="59"/>
      <c r="AT55" s="68"/>
    </row>
    <row r="56" spans="1:46" x14ac:dyDescent="0.25">
      <c r="A56" s="40"/>
      <c r="B56" s="41"/>
      <c r="C56" s="42" t="s">
        <v>143</v>
      </c>
      <c r="D56" s="43"/>
      <c r="E56" s="44" t="s">
        <v>144</v>
      </c>
      <c r="F56" s="44"/>
      <c r="G56" s="44"/>
      <c r="H56" s="44"/>
      <c r="I56" s="44" t="s">
        <v>145</v>
      </c>
      <c r="J56" s="44"/>
      <c r="K56" s="44"/>
      <c r="L56" s="44"/>
      <c r="M56" s="44"/>
      <c r="N56" s="44"/>
      <c r="O56" s="44"/>
      <c r="P56" s="44"/>
      <c r="Q56" s="44" t="s">
        <v>146</v>
      </c>
      <c r="R56" s="44"/>
      <c r="S56" s="44"/>
      <c r="T56" s="44"/>
      <c r="U56" s="44"/>
      <c r="V56" s="44"/>
      <c r="W56" s="44"/>
      <c r="X56" s="44"/>
      <c r="Y56" s="44"/>
      <c r="Z56" s="44" t="s">
        <v>147</v>
      </c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5"/>
      <c r="AR56" s="45"/>
      <c r="AS56" s="45"/>
      <c r="AT56" s="69"/>
    </row>
    <row r="57" spans="1:46" x14ac:dyDescent="0.25">
      <c r="A57" s="46" t="s">
        <v>148</v>
      </c>
      <c r="B57" s="95"/>
      <c r="C57" s="90"/>
      <c r="D57" s="90"/>
      <c r="E57" s="95"/>
      <c r="F57" s="95"/>
      <c r="G57" s="95"/>
      <c r="H57" s="95"/>
      <c r="I57" s="99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  <c r="AT57" s="70"/>
    </row>
    <row r="58" spans="1:46" x14ac:dyDescent="0.25">
      <c r="A58" s="46"/>
      <c r="B58" s="95"/>
      <c r="C58" s="90"/>
      <c r="D58" s="90"/>
      <c r="E58" s="95"/>
      <c r="F58" s="95"/>
      <c r="G58" s="95"/>
      <c r="H58" s="95"/>
      <c r="I58" s="99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  <c r="AT58" s="70"/>
    </row>
    <row r="59" spans="1:46" x14ac:dyDescent="0.25">
      <c r="A59" s="46"/>
      <c r="B59" s="95"/>
      <c r="C59" s="90"/>
      <c r="D59" s="90"/>
      <c r="E59" s="95"/>
      <c r="F59" s="95"/>
      <c r="G59" s="95"/>
      <c r="H59" s="95"/>
      <c r="I59" s="99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70"/>
    </row>
    <row r="60" spans="1:46" x14ac:dyDescent="0.25">
      <c r="A60" s="46"/>
      <c r="B60" s="95"/>
      <c r="C60" s="90"/>
      <c r="D60" s="90"/>
      <c r="E60" s="95"/>
      <c r="F60" s="95"/>
      <c r="G60" s="95"/>
      <c r="H60" s="95"/>
      <c r="I60" s="99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70"/>
    </row>
    <row r="61" spans="1:46" x14ac:dyDescent="0.25">
      <c r="A61" s="46"/>
      <c r="B61" s="95"/>
      <c r="C61" s="90"/>
      <c r="D61" s="90"/>
      <c r="E61" s="95"/>
      <c r="F61" s="95"/>
      <c r="G61" s="95"/>
      <c r="H61" s="95"/>
      <c r="I61" s="99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70"/>
    </row>
    <row r="62" spans="1:46" x14ac:dyDescent="0.25">
      <c r="A62" s="46"/>
      <c r="B62" s="95"/>
      <c r="C62" s="90"/>
      <c r="D62" s="90"/>
      <c r="E62" s="95"/>
      <c r="F62" s="95"/>
      <c r="G62" s="95"/>
      <c r="H62" s="95"/>
      <c r="I62" s="99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  <c r="AT62" s="70"/>
    </row>
    <row r="63" spans="1:46" x14ac:dyDescent="0.25">
      <c r="A63" s="46"/>
      <c r="B63" s="95"/>
      <c r="C63" s="90"/>
      <c r="D63" s="90"/>
      <c r="E63" s="95"/>
      <c r="F63" s="95"/>
      <c r="G63" s="95"/>
      <c r="H63" s="95"/>
      <c r="I63" s="99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70"/>
    </row>
    <row r="64" spans="1:46" x14ac:dyDescent="0.25">
      <c r="A64" s="46"/>
      <c r="B64" s="95"/>
      <c r="C64" s="90"/>
      <c r="D64" s="90"/>
      <c r="E64" s="95"/>
      <c r="F64" s="95"/>
      <c r="G64" s="95"/>
      <c r="H64" s="95"/>
      <c r="I64" s="99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70"/>
    </row>
    <row r="65" spans="1:46" x14ac:dyDescent="0.25">
      <c r="A65" s="46"/>
      <c r="B65" s="95"/>
      <c r="C65" s="90"/>
      <c r="D65" s="90"/>
      <c r="E65" s="95"/>
      <c r="F65" s="95"/>
      <c r="G65" s="95"/>
      <c r="H65" s="95"/>
      <c r="I65" s="99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  <c r="AT65" s="70"/>
    </row>
    <row r="66" spans="1:46" ht="12.75" customHeight="1" x14ac:dyDescent="0.25">
      <c r="A66" s="47"/>
      <c r="B66" s="95"/>
      <c r="C66" s="100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  <c r="AT66" s="70"/>
    </row>
    <row r="67" spans="1:46" ht="12.75" customHeight="1" x14ac:dyDescent="0.25">
      <c r="A67" s="5"/>
      <c r="B67" s="95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  <c r="AJ67" s="101"/>
      <c r="AT67" s="102"/>
    </row>
    <row r="68" spans="1:46" x14ac:dyDescent="0.25">
      <c r="A68" s="103"/>
      <c r="AT68" s="102"/>
    </row>
    <row r="69" spans="1:46" x14ac:dyDescent="0.25">
      <c r="A69" s="103"/>
      <c r="AT69" s="102"/>
    </row>
    <row r="70" spans="1:46" x14ac:dyDescent="0.25">
      <c r="A70" s="103"/>
      <c r="AT70" s="102"/>
    </row>
    <row r="71" spans="1:46" x14ac:dyDescent="0.25">
      <c r="A71" s="103"/>
      <c r="AT71" s="102"/>
    </row>
    <row r="72" spans="1:46" x14ac:dyDescent="0.25">
      <c r="A72" s="103"/>
      <c r="AT72" s="102"/>
    </row>
    <row r="73" spans="1:46" x14ac:dyDescent="0.25">
      <c r="A73" s="103"/>
      <c r="AT73" s="102"/>
    </row>
    <row r="74" spans="1:46" x14ac:dyDescent="0.25">
      <c r="A74" s="103"/>
      <c r="AT74" s="102"/>
    </row>
    <row r="75" spans="1:46" x14ac:dyDescent="0.25">
      <c r="A75" s="103"/>
      <c r="AT75" s="102"/>
    </row>
    <row r="76" spans="1:46" ht="13.8" thickBot="1" x14ac:dyDescent="0.3">
      <c r="A76" s="104"/>
      <c r="B76" s="105"/>
      <c r="C76" s="105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L76" s="105"/>
      <c r="AM76" s="105"/>
      <c r="AN76" s="105"/>
      <c r="AO76" s="105"/>
      <c r="AP76" s="105"/>
      <c r="AQ76" s="105"/>
      <c r="AR76" s="105"/>
      <c r="AS76" s="105"/>
      <c r="AT76" s="106"/>
    </row>
  </sheetData>
  <mergeCells count="87">
    <mergeCell ref="Z1:AT1"/>
    <mergeCell ref="O2:AT2"/>
    <mergeCell ref="AK53:AT53"/>
    <mergeCell ref="AK54:AT54"/>
    <mergeCell ref="AA53:AJ53"/>
    <mergeCell ref="AA54:AJ54"/>
    <mergeCell ref="V51:Z51"/>
    <mergeCell ref="Q52:Z52"/>
    <mergeCell ref="AA52:AJ52"/>
    <mergeCell ref="Q53:Z53"/>
    <mergeCell ref="Q54:Z54"/>
    <mergeCell ref="Q51:U51"/>
    <mergeCell ref="AK52:AT52"/>
    <mergeCell ref="Q50:U50"/>
    <mergeCell ref="V50:Z50"/>
    <mergeCell ref="Q44:Z46"/>
    <mergeCell ref="Q47:Z47"/>
    <mergeCell ref="Q48:Z48"/>
    <mergeCell ref="Q49:U49"/>
    <mergeCell ref="V49:Z49"/>
    <mergeCell ref="Q30:Z30"/>
    <mergeCell ref="Q36:U36"/>
    <mergeCell ref="Q34:Z34"/>
    <mergeCell ref="Q37:U37"/>
    <mergeCell ref="V37:Z37"/>
    <mergeCell ref="Q43:Z43"/>
    <mergeCell ref="Q38:U38"/>
    <mergeCell ref="V38:Z38"/>
    <mergeCell ref="AA30:AJ30"/>
    <mergeCell ref="Q31:Z33"/>
    <mergeCell ref="AA31:AJ33"/>
    <mergeCell ref="AK30:AT30"/>
    <mergeCell ref="AK31:AT33"/>
    <mergeCell ref="AK38:AO38"/>
    <mergeCell ref="AA34:AJ34"/>
    <mergeCell ref="Q35:Z35"/>
    <mergeCell ref="AA35:AJ35"/>
    <mergeCell ref="V36:Z36"/>
    <mergeCell ref="AF36:AJ36"/>
    <mergeCell ref="AA36:AE36"/>
    <mergeCell ref="AA41:AJ41"/>
    <mergeCell ref="AA37:AE37"/>
    <mergeCell ref="AF37:AJ37"/>
    <mergeCell ref="AA38:AE38"/>
    <mergeCell ref="AF38:AJ38"/>
    <mergeCell ref="A1:J2"/>
    <mergeCell ref="AK39:AT39"/>
    <mergeCell ref="AK40:AT40"/>
    <mergeCell ref="AK41:AT41"/>
    <mergeCell ref="K3:AT4"/>
    <mergeCell ref="K2:N2"/>
    <mergeCell ref="X1:Y1"/>
    <mergeCell ref="K1:W1"/>
    <mergeCell ref="AK34:AT34"/>
    <mergeCell ref="AK35:AT35"/>
    <mergeCell ref="AP36:AT36"/>
    <mergeCell ref="AP37:AT37"/>
    <mergeCell ref="AP38:AT38"/>
    <mergeCell ref="AK36:AO36"/>
    <mergeCell ref="AK37:AO37"/>
    <mergeCell ref="Q40:Z40"/>
    <mergeCell ref="AK50:AO50"/>
    <mergeCell ref="AP50:AT50"/>
    <mergeCell ref="AP51:AT51"/>
    <mergeCell ref="AK51:AO51"/>
    <mergeCell ref="AK43:AT43"/>
    <mergeCell ref="AK44:AT46"/>
    <mergeCell ref="AK47:AT47"/>
    <mergeCell ref="AK49:AO49"/>
    <mergeCell ref="AP49:AT49"/>
    <mergeCell ref="AK48:AT48"/>
    <mergeCell ref="A3:J4"/>
    <mergeCell ref="AA50:AE50"/>
    <mergeCell ref="AF50:AJ50"/>
    <mergeCell ref="AF51:AJ51"/>
    <mergeCell ref="AA51:AE51"/>
    <mergeCell ref="AA44:AJ46"/>
    <mergeCell ref="AA47:AJ47"/>
    <mergeCell ref="AA48:AJ48"/>
    <mergeCell ref="AF49:AJ49"/>
    <mergeCell ref="AA49:AE49"/>
    <mergeCell ref="A34:B40"/>
    <mergeCell ref="AA43:AJ43"/>
    <mergeCell ref="AA40:AJ40"/>
    <mergeCell ref="Q39:Z39"/>
    <mergeCell ref="AA39:AJ39"/>
    <mergeCell ref="Q41:Z41"/>
  </mergeCells>
  <phoneticPr fontId="0" type="noConversion"/>
  <printOptions horizontalCentered="1"/>
  <pageMargins left="0.25" right="0.25" top="0.75" bottom="0.75" header="0.3" footer="0.3"/>
  <pageSetup paperSize="9" scale="70" orientation="portrait" r:id="rId1"/>
  <ignoredErrors>
    <ignoredError sqref="V38:Z38 C5:D56 U36 U37 R37:S37 R36:S36" numberStoredAsText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Props1.xml><?xml version="1.0" encoding="utf-8"?>
<ds:datastoreItem xmlns:ds="http://schemas.openxmlformats.org/officeDocument/2006/customXml" ds:itemID="{19620368-7662-4DB3-BA29-C1EB9F7A72E5}"/>
</file>

<file path=customXml/itemProps2.xml><?xml version="1.0" encoding="utf-8"?>
<ds:datastoreItem xmlns:ds="http://schemas.openxmlformats.org/officeDocument/2006/customXml" ds:itemID="{674A4EA2-7799-4E37-A55F-5DB9DDEAE1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6DD5B2-B6C5-4566-B10C-21E02F71AA3C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09800482-4cb0-41a3-85e1-23f7b0b2224e"/>
    <ds:schemaRef ds:uri="e4d7e4c3-b78f-4756-8feb-bf68a8958333"/>
    <ds:schemaRef ds:uri="1b146853-cbf1-4f8c-b6d7-58284d252a4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8</vt:i4>
      </vt:variant>
    </vt:vector>
  </HeadingPairs>
  <TitlesOfParts>
    <vt:vector size="11" baseType="lpstr">
      <vt:lpstr>Config</vt:lpstr>
      <vt:lpstr>Capa</vt:lpstr>
      <vt:lpstr>Folhas</vt:lpstr>
      <vt:lpstr>Capa!Area_de_impressao</vt:lpstr>
      <vt:lpstr>Folhas!Area_de_impressao</vt:lpstr>
      <vt:lpstr>Capa!LogoClienteCapa</vt:lpstr>
      <vt:lpstr>Folhas!LogoClienteFolha</vt:lpstr>
      <vt:lpstr>Capa!LogoTechnikCapa</vt:lpstr>
      <vt:lpstr>Folhas!LogoTechnikFolha</vt:lpstr>
      <vt:lpstr>NomeDoc</vt:lpstr>
      <vt:lpstr>Folhas!Titulos_de_impressao</vt:lpstr>
    </vt:vector>
  </TitlesOfParts>
  <Company>SIMON CONSULTORIA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Magnus Miranda</dc:creator>
  <cp:lastModifiedBy>Hugo Lima</cp:lastModifiedBy>
  <cp:revision/>
  <cp:lastPrinted>2023-09-20T12:08:26Z</cp:lastPrinted>
  <dcterms:created xsi:type="dcterms:W3CDTF">1997-06-10T15:27:55Z</dcterms:created>
  <dcterms:modified xsi:type="dcterms:W3CDTF">2023-09-20T12:57:00Z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CatchAll">
    <vt:lpwstr/>
  </property>
  <property fmtid="{D5CDD505-2E9C-101B-9397-08002B2CF9AE}" pid="3" name="lcf76f155ced4ddcb4097134ff3c332f">
    <vt:lpwstr/>
  </property>
  <property fmtid="{D5CDD505-2E9C-101B-9397-08002B2CF9AE}" pid="4" name="MediaServiceImageTags">
    <vt:lpwstr/>
  </property>
  <property fmtid="{D5CDD505-2E9C-101B-9397-08002B2CF9AE}" pid="5" name="ContentTypeId">
    <vt:lpwstr>0x0101009039DBD687C496499E8079BFA864F9E5</vt:lpwstr>
  </property>
</Properties>
</file>