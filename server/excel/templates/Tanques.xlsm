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technikgrupo.sharepoint.com/sites/ControlePropostas/Documentos Compartilhados/4. CONTROLE DE PROPOSTAS/1. MODELOS/Folha de dados/FD/"/>
    </mc:Choice>
  </mc:AlternateContent>
  <xr:revisionPtr revIDLastSave="517" documentId="13_ncr:1_{DEFAC395-1D9E-4A91-A5E0-5C31F859C592}" xr6:coauthVersionLast="47" xr6:coauthVersionMax="47" xr10:uidLastSave="{50D7CD8A-7837-45C3-ADBB-E8267754132F}"/>
  <bookViews>
    <workbookView xWindow="-108" yWindow="-108" windowWidth="23256" windowHeight="12456" firstSheet="1" activeTab="2" xr2:uid="{00000000-000D-0000-FFFF-FFFF00000000}"/>
  </bookViews>
  <sheets>
    <sheet name="Config" sheetId="18" state="hidden" r:id="rId1"/>
    <sheet name="Capa" sheetId="19" r:id="rId2"/>
    <sheet name="Folhas" sheetId="10" r:id="rId3"/>
  </sheets>
  <definedNames>
    <definedName name="_xlnm.Print_Area" localSheetId="1">Capa!$A$1:$O$84</definedName>
    <definedName name="_xlnm.Print_Area" localSheetId="2">Folhas!$A$1:$AZ$55</definedName>
    <definedName name="LogoClienteCapa" localSheetId="1">Capa!$A$1:$C$4</definedName>
    <definedName name="LogoTechnikCapa" localSheetId="1">Capa!$A$5:$C$8</definedName>
    <definedName name="LogoTechnikFolha">Folhas!$A$1:$J$4</definedName>
    <definedName name="NomeDoc">Capa!$J$1</definedName>
    <definedName name="_xlnm.Print_Titles" localSheetId="2">Folhas!$1:$5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0" l="1"/>
  <c r="A1" i="19"/>
  <c r="A5" i="19"/>
  <c r="D82" i="19" a="1"/>
  <c r="D82" i="19" s="1"/>
  <c r="D81" i="19"/>
  <c r="E3" i="19"/>
  <c r="AA1" i="10"/>
  <c r="E5" i="19"/>
  <c r="J1" i="1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<sst xmlns="http://schemas.openxmlformats.org/spreadsheetml/2006/main" count="235" uniqueCount="179">
  <si>
    <t>FOLHA DE DADOS</t>
  </si>
  <si>
    <t>CENTRO DE ENGENHARIA TECHNIK</t>
  </si>
  <si>
    <t>REV</t>
  </si>
  <si>
    <t>PROJETO</t>
  </si>
  <si>
    <t>MCM</t>
  </si>
  <si>
    <t>Nº.:</t>
  </si>
  <si>
    <t>ÁREA:</t>
  </si>
  <si>
    <t>TÍTULO:</t>
  </si>
  <si>
    <r>
      <rPr>
        <sz val="9"/>
        <rFont val="Arial"/>
        <family val="2"/>
      </rPr>
      <t xml:space="preserve">Quantidade: </t>
    </r>
    <r>
      <rPr>
        <b/>
        <sz val="9"/>
        <rFont val="Arial"/>
        <family val="2"/>
      </rPr>
      <t>01</t>
    </r>
  </si>
  <si>
    <t>ITEM</t>
  </si>
  <si>
    <t>DADOS GERAIS</t>
  </si>
  <si>
    <t>DESCRIÇÃO</t>
  </si>
  <si>
    <t>X</t>
  </si>
  <si>
    <t xml:space="preserve"> TETO FLUTUANTE</t>
  </si>
  <si>
    <t xml:space="preserve"> TIPO DE TETO</t>
  </si>
  <si>
    <t>-</t>
  </si>
  <si>
    <t xml:space="preserve"> OUTROS:</t>
  </si>
  <si>
    <t xml:space="preserve"> TIPO DE SELO VEDAÇÃO</t>
  </si>
  <si>
    <t xml:space="preserve"> DRENO DO TETO</t>
  </si>
  <si>
    <t>TIPO</t>
  </si>
  <si>
    <t>DIÂMETRO</t>
  </si>
  <si>
    <r>
      <t xml:space="preserve"> FATOR CORRIGIDO:         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/mm)</t>
    </r>
  </si>
  <si>
    <t>OPERAÇÃO</t>
  </si>
  <si>
    <t>MATERIAL</t>
  </si>
  <si>
    <t xml:space="preserve"> CHAPAS:</t>
  </si>
  <si>
    <t>COSTADO</t>
  </si>
  <si>
    <r>
      <t>kg/m</t>
    </r>
    <r>
      <rPr>
        <vertAlign val="superscript"/>
        <sz val="8"/>
        <rFont val="Arial"/>
        <family val="2"/>
      </rPr>
      <t>3</t>
    </r>
  </si>
  <si>
    <t xml:space="preserve"> VISCOSIDADE:</t>
  </si>
  <si>
    <t>cP</t>
  </si>
  <si>
    <t>FUNDO</t>
  </si>
  <si>
    <t>PRESS. DE VAPOR@TEMP. OPER.</t>
  </si>
  <si>
    <r>
      <t>kgf/cm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a</t>
    </r>
  </si>
  <si>
    <t>TETO</t>
  </si>
  <si>
    <t xml:space="preserve"> PONTO DE FULGOR</t>
  </si>
  <si>
    <t>ºC</t>
  </si>
  <si>
    <t xml:space="preserve"> FLANGES:</t>
  </si>
  <si>
    <t xml:space="preserve"> BOCAIS</t>
  </si>
  <si>
    <t xml:space="preserve"> TEMPERATURA</t>
  </si>
  <si>
    <t>PRESSÃO</t>
  </si>
  <si>
    <t>ATM</t>
  </si>
  <si>
    <t xml:space="preserve"> BOCAS DE VISITA</t>
  </si>
  <si>
    <t xml:space="preserve"> PESCOÇOS DOS BOCAIS</t>
  </si>
  <si>
    <t xml:space="preserve"> TEMPERATURA DE PROJETO:  60</t>
  </si>
  <si>
    <t xml:space="preserve"> LUVAS</t>
  </si>
  <si>
    <r>
      <t xml:space="preserve"> TEMPERATURA AMBIENTE: </t>
    </r>
    <r>
      <rPr>
        <sz val="8"/>
        <color theme="1"/>
        <rFont val="Arial"/>
        <family val="2"/>
      </rPr>
      <t>9 - 34</t>
    </r>
  </si>
  <si>
    <t xml:space="preserve"> TUBOS INTERNOS</t>
  </si>
  <si>
    <t xml:space="preserve"> PRESS. PROJETO</t>
  </si>
  <si>
    <t>VÁCUO PROJ.</t>
  </si>
  <si>
    <t xml:space="preserve"> PERFIS ESTRUTURAIS</t>
  </si>
  <si>
    <t xml:space="preserve"> VAZÃO MÁX. PRODUTO:</t>
  </si>
  <si>
    <t>ENTRADA</t>
  </si>
  <si>
    <r>
      <t>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/h</t>
    </r>
  </si>
  <si>
    <t xml:space="preserve"> TUBOS DA SERPENTINA</t>
  </si>
  <si>
    <t>SAÍDA</t>
  </si>
  <si>
    <t xml:space="preserve"> ACESSÓRIOS DA SERPENTINA</t>
  </si>
  <si>
    <r>
      <t>kgf/cm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g</t>
    </r>
  </si>
  <si>
    <t xml:space="preserve"> PARAF./PORCAS</t>
  </si>
  <si>
    <t>VÁCUO</t>
  </si>
  <si>
    <t xml:space="preserve"> JUNTAS</t>
  </si>
  <si>
    <t xml:space="preserve"> SOBRECARGA SOBRE TETO</t>
  </si>
  <si>
    <t>PELO FORNECEDOR</t>
  </si>
  <si>
    <r>
      <t>kgf/m</t>
    </r>
    <r>
      <rPr>
        <vertAlign val="superscript"/>
        <sz val="8"/>
        <rFont val="Arial"/>
        <family val="2"/>
      </rPr>
      <t>2</t>
    </r>
  </si>
  <si>
    <t>FUNDAÇÃO / MONTAGEM / INSPEÇÃO</t>
  </si>
  <si>
    <t xml:space="preserve"> TIPO DE FUNDAÇÕES</t>
  </si>
  <si>
    <t xml:space="preserve"> DECLIVIDADE: FUNDO</t>
  </si>
  <si>
    <t>TETO:</t>
  </si>
  <si>
    <t xml:space="preserve"> RECALQUE</t>
  </si>
  <si>
    <t>TOTAL</t>
  </si>
  <si>
    <t xml:space="preserve"> PRECIP. PLUVIOMÉTRICA MÁX.</t>
  </si>
  <si>
    <t>mm/mês</t>
  </si>
  <si>
    <t>DIFERENCIAL</t>
  </si>
  <si>
    <t xml:space="preserve"> VELOCIDADE MÉDIA DO VENTO</t>
  </si>
  <si>
    <t>NBR-6123</t>
  </si>
  <si>
    <t xml:space="preserve"> INSPEÇÃO DE MATERIAIS</t>
  </si>
  <si>
    <t xml:space="preserve"> NA USINA</t>
  </si>
  <si>
    <t>SISTEMA DE AQUECIMENTO</t>
  </si>
  <si>
    <t xml:space="preserve"> SISTEMA DE AQUECIMENTO</t>
  </si>
  <si>
    <t>SIM</t>
  </si>
  <si>
    <t>NÃO</t>
  </si>
  <si>
    <t xml:space="preserve"> NA FÁBRICA</t>
  </si>
  <si>
    <t xml:space="preserve"> SERPENTINA</t>
  </si>
  <si>
    <t xml:space="preserve"> AQUECEDORES</t>
  </si>
  <si>
    <t xml:space="preserve"> NO CAMPO</t>
  </si>
  <si>
    <t xml:space="preserve"> TUBOS LISOS</t>
  </si>
  <si>
    <t xml:space="preserve"> TUBOS ALETADOS</t>
  </si>
  <si>
    <t xml:space="preserve"> CARGA TÉRMICA</t>
  </si>
  <si>
    <t>kW</t>
  </si>
  <si>
    <t xml:space="preserve"> ISOLAMENTO TÉRMICO</t>
  </si>
  <si>
    <t xml:space="preserve"> SIM</t>
  </si>
  <si>
    <t xml:space="preserve"> TEMPO DE AQUECIMENTO</t>
  </si>
  <si>
    <t>h</t>
  </si>
  <si>
    <t xml:space="preserve"> NÃO</t>
  </si>
  <si>
    <t xml:space="preserve"> CALOR ESPECÍFICO DO PRODUTO</t>
  </si>
  <si>
    <t>kcal/kgºC</t>
  </si>
  <si>
    <t xml:space="preserve"> FINALIDADE</t>
  </si>
  <si>
    <t xml:space="preserve"> TEMPERATURA DE ENTRADA/SAÍDA</t>
  </si>
  <si>
    <t xml:space="preserve"> MATERIAL</t>
  </si>
  <si>
    <t xml:space="preserve"> COEFICIENTE DE PELÍCULA: EXTERNO</t>
  </si>
  <si>
    <r>
      <t>kW/m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ºC</t>
    </r>
  </si>
  <si>
    <t xml:space="preserve"> PINTURA</t>
  </si>
  <si>
    <t xml:space="preserve"> EXTERNA</t>
  </si>
  <si>
    <t>CONF. PADRÃO SYNGENTA</t>
  </si>
  <si>
    <t xml:space="preserve"> COEFICIENTE DE PELÍCULA: INTERNO</t>
  </si>
  <si>
    <t xml:space="preserve"> INTERNA</t>
  </si>
  <si>
    <t xml:space="preserve"> FATOR DE INCRUSTAÇÃO</t>
  </si>
  <si>
    <r>
      <t>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ºC/kW</t>
    </r>
  </si>
  <si>
    <t>ESTRUTURA METÁLICA</t>
  </si>
  <si>
    <t xml:space="preserve"> PRESSÃO VAPOR</t>
  </si>
  <si>
    <t xml:space="preserve"> PREV. PROT. CATÓDICA:</t>
  </si>
  <si>
    <t xml:space="preserve"> TEMPERATURA VAPOR</t>
  </si>
  <si>
    <t xml:space="preserve"> PRESSÃO TESTE HIDROSTÁTICO</t>
  </si>
  <si>
    <t xml:space="preserve"> PESO DO TANQUE</t>
  </si>
  <si>
    <t>VAZIO</t>
  </si>
  <si>
    <t>CHEIO D' AGUA</t>
  </si>
  <si>
    <t>EM OPERAÇÃO</t>
  </si>
  <si>
    <t xml:space="preserve"> TRANSPORTE</t>
  </si>
  <si>
    <t>INTEIRO</t>
  </si>
  <si>
    <t>DESMONTADO</t>
  </si>
  <si>
    <t xml:space="preserve"> DIMENSÕES DAS CHAPAS</t>
  </si>
  <si>
    <t>ANÉIS DO COSTADO</t>
  </si>
  <si>
    <t>CHAPAS ANULARES</t>
  </si>
  <si>
    <t>CENTRO</t>
  </si>
  <si>
    <t>1º</t>
  </si>
  <si>
    <t>2º</t>
  </si>
  <si>
    <t>3º</t>
  </si>
  <si>
    <t>4º</t>
  </si>
  <si>
    <t>5º</t>
  </si>
  <si>
    <t>6º</t>
  </si>
  <si>
    <t>7º</t>
  </si>
  <si>
    <t>8º</t>
  </si>
  <si>
    <t xml:space="preserve"> ESPESSURAS NOMINAIS (mm)</t>
  </si>
  <si>
    <t xml:space="preserve"> SOBREESPESS. CORROSÃO (mm)</t>
  </si>
  <si>
    <t xml:space="preserve"> LARGURA (mm)</t>
  </si>
  <si>
    <t xml:space="preserve"> COMPRIMENTO (mm)</t>
  </si>
  <si>
    <t xml:space="preserve"> Nº DE CHAPAS POR TANQUE</t>
  </si>
  <si>
    <t>(*) PELO FORNECEDOR</t>
  </si>
  <si>
    <t>TANQUE DE ARMAZENAMENTO DE CICLOHEXANONA - T-2167</t>
  </si>
  <si>
    <r>
      <t xml:space="preserve"> </t>
    </r>
    <r>
      <rPr>
        <sz val="9"/>
        <rFont val="Arial"/>
        <family val="2"/>
      </rPr>
      <t xml:space="preserve">Serviço: </t>
    </r>
    <r>
      <rPr>
        <b/>
        <sz val="9"/>
        <rFont val="Arial"/>
        <family val="2"/>
      </rPr>
      <t>Armazenamento de Ciclohexanona</t>
    </r>
  </si>
  <si>
    <t xml:space="preserve"> CAPACIDADE NOMINAL: 100 (m3)</t>
  </si>
  <si>
    <t xml:space="preserve"> DIÂMETRO NOMINAL:3900  (mm)</t>
  </si>
  <si>
    <t xml:space="preserve"> PRODUTO ARMAZENADO: CICLOHEXANONA</t>
  </si>
  <si>
    <t xml:space="preserve"> DENSIDADE: 950</t>
  </si>
  <si>
    <t>AMBIENTE</t>
  </si>
  <si>
    <t xml:space="preserve"> NORMA DE PROJETO: ASME VIII - DIV I</t>
  </si>
  <si>
    <t>1 kgf/cm²g</t>
  </si>
  <si>
    <t>SS 304L</t>
  </si>
  <si>
    <t>CONFORME SPEC 1 - SYNGENTA</t>
  </si>
  <si>
    <r>
      <t xml:space="preserve"> ALTURA NOMINAL: 10000</t>
    </r>
    <r>
      <rPr>
        <sz val="8"/>
        <color rgb="FFFF0000"/>
        <rFont val="Arial"/>
        <family val="2"/>
      </rPr>
      <t xml:space="preserve"> </t>
    </r>
    <r>
      <rPr>
        <sz val="8"/>
        <color theme="1"/>
        <rFont val="Arial"/>
        <family val="2"/>
      </rPr>
      <t xml:space="preserve"> (mm)</t>
    </r>
  </si>
  <si>
    <t>TANCADO 21</t>
  </si>
  <si>
    <t>mbar</t>
  </si>
  <si>
    <t>CALIBR. VÁLVULA DE ALÍVIO E VÁCUO:</t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</si>
  <si>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</si>
  <si>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</si>
  <si>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</si>
  <si>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</si>
  <si>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</si>
  <si>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</si>
  <si>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</si>
  <si>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</si>
  <si>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</si>
  <si>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N°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</si>
  <si>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</si>
  <si>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</si>
  <si>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</si>
  <si>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t>GERAL</t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</si>
  <si>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</si>
  <si>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</si>
  <si>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</si>
  <si>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</si>
  <si>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</si>
  <si>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</si>
  <si>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</si>
  <si>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</si>
  <si>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</si>
  <si>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FOLHA DE DADOS DE TANQUES</t>
  </si>
  <si>
    <t>https://technikgrupo.sharepoint.com/sites/transfer/Logos/Technik.png</t>
  </si>
  <si>
    <t>0</t>
  </si>
  <si>
    <t>PARA COMENTÁRIOS</t>
  </si>
  <si>
    <t>JMJ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</si>
</sst>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 x14ac:knownFonts="1">
    <font>
      <sz val="10"/>
      <name val="Arial"/>
    </font>
    <font>
      <b/>
      <sz val="8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6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6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vertAlign val="superscript"/>
      <sz val="8"/>
      <name val="Arial"/>
      <family val="2"/>
    </font>
    <font>
      <vertAlign val="superscript"/>
      <sz val="9"/>
      <name val="Arial"/>
      <family val="2"/>
    </font>
    <font>
      <sz val="8"/>
      <color rgb="FF000000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b/>
      <sz val="10"/>
      <color rgb="FFFF0000"/>
      <name val="Arial"/>
      <family val="2"/>
    </font>
    <font>
      <u/>
      <sz val="10"/>
      <color theme="10"/>
      <name val="Arial"/>
      <family val="2"/>
    </font>
    <font>
      <i/>
      <sz val="8"/>
      <name val="Arial"/>
      <family val="2"/>
    </font>
    <font>
      <i/>
      <sz val="11"/>
      <color indexed="8"/>
      <name val="Arial"/>
      <family val="2"/>
    </font>
    <font>
      <i/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6" fillId="0" borderId="0"/>
    <xf numFmtId="0" fontId="19" fillId="0" borderId="0" applyNumberFormat="0" applyFill="0" applyBorder="0" applyAlignment="0" applyProtection="0"/>
  </cellStyleXfs>
  <cellXfs count="230">
    <xf numFmtId="0" fontId="0" fillId="0" borderId="0" xfId="0"/>
    <xf numFmtId="0" fontId="13" fillId="0" borderId="1" xfId="1" applyFont="1" applyBorder="1" applyAlignment="1">
      <alignment horizontal="center" vertical="center" wrapText="1"/>
    </xf>
    <xf numFmtId="0" fontId="8" fillId="0" borderId="3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14" fontId="8" fillId="0" borderId="3" xfId="1" applyNumberFormat="1" applyFont="1" applyBorder="1" applyAlignment="1">
      <alignment horizontal="center" vertical="center"/>
    </xf>
    <xf numFmtId="0" fontId="8" fillId="0" borderId="3" xfId="1" applyFont="1" applyBorder="1" applyAlignment="1">
      <alignment vertical="center"/>
    </xf>
    <xf numFmtId="0" fontId="8" fillId="0" borderId="4" xfId="1" applyFont="1" applyBorder="1" applyAlignment="1">
      <alignment vertical="center"/>
    </xf>
    <xf numFmtId="0" fontId="8" fillId="0" borderId="5" xfId="1" applyFont="1" applyBorder="1" applyAlignment="1">
      <alignment vertical="center"/>
    </xf>
    <xf numFmtId="0" fontId="8" fillId="0" borderId="6" xfId="1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8" fillId="0" borderId="10" xfId="0" applyFont="1" applyBorder="1" applyAlignment="1" applyProtection="1">
      <alignment horizontal="left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1" fillId="0" borderId="7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>
      <alignment horizontal="center" vertical="center"/>
    </xf>
    <xf numFmtId="0" fontId="1" fillId="0" borderId="13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center" vertical="center"/>
    </xf>
    <xf numFmtId="0" fontId="8" fillId="0" borderId="10" xfId="0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left" vertical="center"/>
      <protection locked="0"/>
    </xf>
    <xf numFmtId="0" fontId="5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vertical="center"/>
    </xf>
    <xf numFmtId="0" fontId="8" fillId="0" borderId="0" xfId="1" applyFont="1" applyAlignment="1">
      <alignment vertical="center"/>
    </xf>
    <xf numFmtId="0" fontId="18" fillId="0" borderId="0" xfId="0" applyFont="1" applyAlignment="1">
      <alignment horizontal="center"/>
    </xf>
    <xf numFmtId="0" fontId="19" fillId="0" borderId="0" xfId="2"/>
    <xf numFmtId="0" fontId="0" fillId="0" borderId="2" xfId="0" applyBorder="1"/>
    <xf numFmtId="0" fontId="8" fillId="0" borderId="7" xfId="1" applyFont="1" applyBorder="1" applyAlignment="1">
      <alignment horizontal="center" vertical="center"/>
    </xf>
    <xf numFmtId="49" fontId="8" fillId="0" borderId="3" xfId="1" applyNumberFormat="1" applyFont="1" applyBorder="1" applyAlignment="1">
      <alignment horizontal="center" vertical="center"/>
    </xf>
    <xf numFmtId="0" fontId="8" fillId="0" borderId="7" xfId="1" applyFont="1" applyBorder="1" applyAlignment="1">
      <alignment vertical="center"/>
    </xf>
    <xf numFmtId="14" fontId="8" fillId="0" borderId="5" xfId="1" applyNumberFormat="1" applyFont="1" applyBorder="1" applyAlignment="1">
      <alignment horizontal="center" vertical="center"/>
    </xf>
    <xf numFmtId="0" fontId="8" fillId="0" borderId="40" xfId="1" applyFont="1" applyBorder="1" applyAlignment="1">
      <alignment vertical="center"/>
    </xf>
    <xf numFmtId="0" fontId="13" fillId="0" borderId="1" xfId="1" applyFont="1" applyBorder="1" applyAlignment="1">
      <alignment horizontal="center" vertical="center" wrapText="1"/>
    </xf>
    <xf numFmtId="0" fontId="13" fillId="0" borderId="0" xfId="1" applyFont="1" applyAlignment="1">
      <alignment horizontal="left" vertical="center" wrapText="1"/>
    </xf>
    <xf numFmtId="0" fontId="14" fillId="0" borderId="25" xfId="1" applyFont="1" applyBorder="1" applyAlignment="1">
      <alignment horizontal="center" vertical="center" wrapText="1"/>
    </xf>
    <xf numFmtId="0" fontId="14" fillId="0" borderId="17" xfId="1" applyFont="1" applyBorder="1" applyAlignment="1">
      <alignment horizontal="center" vertical="center" wrapText="1"/>
    </xf>
    <xf numFmtId="0" fontId="14" fillId="0" borderId="26" xfId="1" applyFont="1" applyBorder="1" applyAlignment="1">
      <alignment horizontal="center" vertical="center" wrapText="1"/>
    </xf>
    <xf numFmtId="0" fontId="14" fillId="0" borderId="27" xfId="1" applyFont="1" applyBorder="1" applyAlignment="1">
      <alignment horizontal="center" vertical="center" wrapText="1"/>
    </xf>
    <xf numFmtId="0" fontId="14" fillId="0" borderId="28" xfId="1" applyFont="1" applyBorder="1" applyAlignment="1">
      <alignment horizontal="center" vertical="center" wrapText="1"/>
    </xf>
    <xf numFmtId="0" fontId="14" fillId="0" borderId="29" xfId="1" applyFont="1" applyBorder="1" applyAlignment="1">
      <alignment horizontal="center" vertical="center" wrapText="1"/>
    </xf>
    <xf numFmtId="0" fontId="1" fillId="0" borderId="31" xfId="1" applyFont="1" applyBorder="1" applyAlignment="1">
      <alignment horizontal="center" vertical="center" wrapText="1"/>
    </xf>
    <xf numFmtId="0" fontId="1" fillId="0" borderId="32" xfId="1" applyFont="1" applyBorder="1" applyAlignment="1">
      <alignment horizontal="center" vertical="center" wrapText="1"/>
    </xf>
    <xf numFmtId="0" fontId="1" fillId="0" borderId="33" xfId="1" applyFont="1" applyBorder="1" applyAlignment="1">
      <alignment horizontal="center" vertical="center" wrapText="1"/>
    </xf>
    <xf numFmtId="0" fontId="1" fillId="0" borderId="27" xfId="1" applyFont="1" applyBorder="1" applyAlignment="1">
      <alignment horizontal="center" vertical="center" wrapText="1"/>
    </xf>
    <xf numFmtId="0" fontId="1" fillId="0" borderId="28" xfId="1" applyFont="1" applyBorder="1" applyAlignment="1">
      <alignment horizontal="center" vertical="center" wrapText="1"/>
    </xf>
    <xf numFmtId="0" fontId="1" fillId="0" borderId="39" xfId="1" applyFont="1" applyBorder="1" applyAlignment="1">
      <alignment horizontal="center" vertical="center" wrapText="1"/>
    </xf>
    <xf numFmtId="0" fontId="8" fillId="0" borderId="7" xfId="1" applyFont="1" applyBorder="1" applyAlignment="1">
      <alignment horizontal="left" vertical="top" wrapText="1"/>
    </xf>
    <xf numFmtId="0" fontId="8" fillId="0" borderId="40" xfId="1" applyFont="1" applyBorder="1" applyAlignment="1">
      <alignment horizontal="left" vertical="top"/>
    </xf>
    <xf numFmtId="49" fontId="10" fillId="0" borderId="12" xfId="0" applyNumberFormat="1" applyFont="1" applyBorder="1" applyAlignment="1">
      <alignment horizontal="center" vertical="center"/>
    </xf>
    <xf numFmtId="49" fontId="10" fillId="0" borderId="37" xfId="0" applyNumberFormat="1" applyFont="1" applyBorder="1" applyAlignment="1">
      <alignment horizontal="center" vertical="center"/>
    </xf>
    <xf numFmtId="49" fontId="10" fillId="0" borderId="28" xfId="0" applyNumberFormat="1" applyFont="1" applyBorder="1" applyAlignment="1">
      <alignment horizontal="center" vertical="center"/>
    </xf>
    <xf numFmtId="49" fontId="10" fillId="0" borderId="29" xfId="0" applyNumberFormat="1" applyFont="1" applyBorder="1" applyAlignment="1">
      <alignment horizontal="center" vertical="center"/>
    </xf>
    <xf numFmtId="49" fontId="14" fillId="0" borderId="49" xfId="1" applyNumberFormat="1" applyFont="1" applyBorder="1" applyAlignment="1">
      <alignment horizontal="center" vertical="center" wrapText="1"/>
    </xf>
    <xf numFmtId="49" fontId="14" fillId="0" borderId="12" xfId="1" applyNumberFormat="1" applyFont="1" applyBorder="1" applyAlignment="1">
      <alignment horizontal="center" vertical="center" wrapText="1"/>
    </xf>
    <xf numFmtId="49" fontId="14" fillId="0" borderId="37" xfId="1" applyNumberFormat="1" applyFont="1" applyBorder="1" applyAlignment="1">
      <alignment horizontal="center" vertical="center" wrapText="1"/>
    </xf>
    <xf numFmtId="49" fontId="14" fillId="0" borderId="50" xfId="1" applyNumberFormat="1" applyFont="1" applyBorder="1" applyAlignment="1">
      <alignment horizontal="center" vertical="center" wrapText="1"/>
    </xf>
    <xf numFmtId="49" fontId="14" fillId="0" borderId="13" xfId="1" applyNumberFormat="1" applyFont="1" applyBorder="1" applyAlignment="1">
      <alignment horizontal="center" vertical="center" wrapText="1"/>
    </xf>
    <xf numFmtId="49" fontId="14" fillId="0" borderId="38" xfId="1" applyNumberFormat="1" applyFont="1" applyBorder="1" applyAlignment="1">
      <alignment horizontal="center" vertical="center" wrapText="1"/>
    </xf>
    <xf numFmtId="49" fontId="15" fillId="0" borderId="30" xfId="1" applyNumberFormat="1" applyFont="1" applyBorder="1" applyAlignment="1">
      <alignment horizontal="center" vertical="center" wrapText="1"/>
    </xf>
    <xf numFmtId="49" fontId="15" fillId="0" borderId="24" xfId="1" applyNumberFormat="1" applyFont="1" applyBorder="1" applyAlignment="1">
      <alignment horizontal="center" vertical="center" wrapText="1"/>
    </xf>
    <xf numFmtId="49" fontId="15" fillId="0" borderId="42" xfId="1" applyNumberFormat="1" applyFont="1" applyBorder="1" applyAlignment="1">
      <alignment horizontal="center" vertical="center" wrapText="1"/>
    </xf>
    <xf numFmtId="49" fontId="15" fillId="0" borderId="12" xfId="1" applyNumberFormat="1" applyFont="1" applyBorder="1" applyAlignment="1">
      <alignment horizontal="center" vertical="center" wrapText="1"/>
    </xf>
    <xf numFmtId="49" fontId="15" fillId="0" borderId="37" xfId="1" applyNumberFormat="1" applyFont="1" applyBorder="1" applyAlignment="1">
      <alignment horizontal="center" vertical="center" wrapText="1"/>
    </xf>
    <xf numFmtId="49" fontId="15" fillId="0" borderId="14" xfId="1" applyNumberFormat="1" applyFont="1" applyBorder="1" applyAlignment="1">
      <alignment horizontal="center" vertical="center" wrapText="1"/>
    </xf>
    <xf numFmtId="49" fontId="15" fillId="0" borderId="13" xfId="1" applyNumberFormat="1" applyFont="1" applyBorder="1" applyAlignment="1">
      <alignment horizontal="center" vertical="center" wrapText="1"/>
    </xf>
    <xf numFmtId="49" fontId="15" fillId="0" borderId="38" xfId="1" applyNumberFormat="1" applyFont="1" applyBorder="1" applyAlignment="1">
      <alignment horizontal="center" vertical="center" wrapText="1"/>
    </xf>
    <xf numFmtId="0" fontId="8" fillId="0" borderId="31" xfId="1" applyFont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8" fillId="0" borderId="34" xfId="1" applyFont="1" applyBorder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0" fontId="8" fillId="0" borderId="36" xfId="1" applyFont="1" applyBorder="1" applyAlignment="1">
      <alignment horizontal="center" vertical="center"/>
    </xf>
    <xf numFmtId="0" fontId="8" fillId="0" borderId="7" xfId="1" applyFont="1" applyBorder="1" applyAlignment="1">
      <alignment horizontal="left" vertical="top"/>
    </xf>
    <xf numFmtId="0" fontId="6" fillId="0" borderId="12" xfId="1" applyBorder="1" applyAlignment="1">
      <alignment horizontal="center" vertical="center"/>
    </xf>
    <xf numFmtId="0" fontId="6" fillId="0" borderId="37" xfId="1" applyBorder="1" applyAlignment="1">
      <alignment horizontal="center" vertical="center"/>
    </xf>
    <xf numFmtId="0" fontId="6" fillId="0" borderId="0" xfId="1" applyAlignment="1">
      <alignment horizontal="center" vertical="center"/>
    </xf>
    <xf numFmtId="0" fontId="6" fillId="0" borderId="2" xfId="1" applyBorder="1" applyAlignment="1">
      <alignment horizontal="center" vertical="center"/>
    </xf>
    <xf numFmtId="0" fontId="6" fillId="0" borderId="13" xfId="1" applyBorder="1" applyAlignment="1">
      <alignment horizontal="center" vertical="center"/>
    </xf>
    <xf numFmtId="0" fontId="6" fillId="0" borderId="38" xfId="1" applyBorder="1" applyAlignment="1">
      <alignment horizontal="center" vertical="center"/>
    </xf>
    <xf numFmtId="0" fontId="8" fillId="0" borderId="25" xfId="1" applyFont="1" applyBorder="1" applyAlignment="1">
      <alignment horizontal="center" vertical="center"/>
    </xf>
    <xf numFmtId="0" fontId="8" fillId="0" borderId="17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9" fillId="0" borderId="16" xfId="1" applyFont="1" applyBorder="1" applyAlignment="1">
      <alignment horizontal="left" vertical="top"/>
    </xf>
    <xf numFmtId="0" fontId="9" fillId="0" borderId="14" xfId="1" applyFont="1" applyBorder="1" applyAlignment="1">
      <alignment horizontal="left" vertical="top"/>
    </xf>
    <xf numFmtId="0" fontId="6" fillId="0" borderId="17" xfId="1" applyBorder="1" applyAlignment="1">
      <alignment horizontal="center" vertical="center"/>
    </xf>
    <xf numFmtId="0" fontId="6" fillId="0" borderId="26" xfId="1" applyBorder="1" applyAlignment="1">
      <alignment horizontal="center" vertical="center"/>
    </xf>
    <xf numFmtId="0" fontId="8" fillId="0" borderId="19" xfId="1" applyFont="1" applyBorder="1" applyAlignment="1">
      <alignment horizontal="left" vertical="center"/>
    </xf>
    <xf numFmtId="0" fontId="8" fillId="0" borderId="10" xfId="1" applyFont="1" applyBorder="1" applyAlignment="1">
      <alignment horizontal="left" vertical="center"/>
    </xf>
    <xf numFmtId="0" fontId="8" fillId="0" borderId="11" xfId="1" applyFont="1" applyBorder="1" applyAlignment="1">
      <alignment horizontal="left" vertical="center"/>
    </xf>
    <xf numFmtId="0" fontId="8" fillId="0" borderId="20" xfId="1" applyFont="1" applyBorder="1" applyAlignment="1">
      <alignment horizontal="left" vertical="center"/>
    </xf>
    <xf numFmtId="0" fontId="8" fillId="0" borderId="21" xfId="1" applyFont="1" applyBorder="1" applyAlignment="1">
      <alignment horizontal="left" vertical="center"/>
    </xf>
    <xf numFmtId="0" fontId="8" fillId="0" borderId="22" xfId="1" applyFont="1" applyBorder="1" applyAlignment="1">
      <alignment horizontal="left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164" fontId="1" fillId="0" borderId="7" xfId="0" applyNumberFormat="1" applyFont="1" applyBorder="1" applyAlignment="1" applyProtection="1">
      <alignment horizontal="center" vertical="center"/>
      <protection locked="0"/>
    </xf>
    <xf numFmtId="164" fontId="1" fillId="0" borderId="10" xfId="0" applyNumberFormat="1" applyFont="1" applyBorder="1" applyAlignment="1" applyProtection="1">
      <alignment horizontal="center" vertical="center"/>
      <protection locked="0"/>
    </xf>
    <xf numFmtId="164" fontId="1" fillId="0" borderId="11" xfId="0" applyNumberFormat="1" applyFont="1" applyBorder="1" applyAlignment="1" applyProtection="1">
      <alignment horizontal="center" vertical="center"/>
      <protection locked="0"/>
    </xf>
    <xf numFmtId="0" fontId="1" fillId="0" borderId="7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19" fillId="0" borderId="7" xfId="2" applyBorder="1" applyAlignment="1" applyProtection="1">
      <alignment horizontal="center" vertical="center"/>
      <protection locked="0"/>
    </xf>
    <xf numFmtId="0" fontId="8" fillId="0" borderId="7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" fillId="0" borderId="10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0" xfId="0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42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41" xfId="0" applyFont="1" applyBorder="1" applyAlignment="1">
      <alignment horizontal="left" vertical="center"/>
    </xf>
    <xf numFmtId="0" fontId="3" fillId="0" borderId="43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4" xfId="0" applyFont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46" xfId="0" applyFont="1" applyBorder="1" applyAlignment="1" applyProtection="1">
      <alignment horizontal="center" vertical="center"/>
      <protection locked="0"/>
    </xf>
    <xf numFmtId="0" fontId="8" fillId="0" borderId="47" xfId="0" applyFont="1" applyBorder="1" applyAlignment="1" applyProtection="1">
      <alignment horizontal="center" vertical="center"/>
      <protection locked="0"/>
    </xf>
    <xf numFmtId="0" fontId="8" fillId="0" borderId="16" xfId="0" applyFont="1" applyBorder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center" vertical="center"/>
      <protection locked="0"/>
    </xf>
    <xf numFmtId="0" fontId="8" fillId="0" borderId="18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8" fillId="0" borderId="7" xfId="0" applyFont="1" applyBorder="1" applyAlignment="1" applyProtection="1">
      <alignment horizontal="left" vertical="center"/>
      <protection locked="0"/>
    </xf>
    <xf numFmtId="0" fontId="8" fillId="0" borderId="10" xfId="0" applyFont="1" applyBorder="1" applyAlignment="1" applyProtection="1">
      <alignment horizontal="left" vertical="center"/>
      <protection locked="0"/>
    </xf>
    <xf numFmtId="0" fontId="1" fillId="0" borderId="7" xfId="0" applyFont="1" applyBorder="1" applyAlignment="1">
      <alignment horizontal="center" vertical="center"/>
    </xf>
    <xf numFmtId="0" fontId="7" fillId="0" borderId="10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8" fillId="0" borderId="41" xfId="0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 applyProtection="1">
      <alignment horizontal="left" vertical="center"/>
      <protection locked="0"/>
    </xf>
    <xf numFmtId="0" fontId="1" fillId="0" borderId="42" xfId="0" applyFont="1" applyBorder="1" applyAlignment="1">
      <alignment horizontal="center" vertical="center" textRotation="90"/>
    </xf>
    <xf numFmtId="0" fontId="1" fillId="0" borderId="41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9" xfId="0" applyFont="1" applyBorder="1" applyAlignment="1">
      <alignment horizontal="center" vertical="center" textRotation="90"/>
    </xf>
    <xf numFmtId="0" fontId="1" fillId="0" borderId="42" xfId="0" applyFont="1" applyBorder="1" applyAlignment="1" applyProtection="1">
      <alignment horizontal="center" vertical="center" textRotation="90"/>
      <protection locked="0"/>
    </xf>
    <xf numFmtId="0" fontId="1" fillId="0" borderId="41" xfId="0" applyFont="1" applyBorder="1" applyAlignment="1" applyProtection="1">
      <alignment horizontal="center" vertical="center" textRotation="90"/>
      <protection locked="0"/>
    </xf>
    <xf numFmtId="0" fontId="1" fillId="0" borderId="8" xfId="0" applyFont="1" applyBorder="1" applyAlignment="1" applyProtection="1">
      <alignment horizontal="center" vertical="center" textRotation="90"/>
      <protection locked="0"/>
    </xf>
    <xf numFmtId="0" fontId="1" fillId="0" borderId="9" xfId="0" applyFont="1" applyBorder="1" applyAlignment="1" applyProtection="1">
      <alignment horizontal="center" vertical="center" textRotation="90"/>
      <protection locked="0"/>
    </xf>
    <xf numFmtId="0" fontId="8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9" fontId="1" fillId="0" borderId="10" xfId="0" applyNumberFormat="1" applyFont="1" applyBorder="1" applyAlignment="1">
      <alignment horizontal="center" vertical="center"/>
    </xf>
    <xf numFmtId="0" fontId="8" fillId="0" borderId="42" xfId="0" applyFont="1" applyBorder="1" applyAlignment="1" applyProtection="1">
      <alignment horizontal="center" vertical="center"/>
      <protection locked="0"/>
    </xf>
    <xf numFmtId="0" fontId="8" fillId="0" borderId="42" xfId="0" applyFont="1" applyBorder="1" applyAlignment="1">
      <alignment horizontal="left" vertical="center" wrapText="1"/>
    </xf>
    <xf numFmtId="0" fontId="8" fillId="0" borderId="12" xfId="0" applyFont="1" applyBorder="1" applyAlignment="1">
      <alignment horizontal="left" vertical="center" wrapText="1"/>
    </xf>
    <xf numFmtId="0" fontId="8" fillId="0" borderId="14" xfId="0" applyFont="1" applyBorder="1" applyAlignment="1">
      <alignment horizontal="left" vertical="center" wrapText="1"/>
    </xf>
    <xf numFmtId="0" fontId="8" fillId="0" borderId="13" xfId="0" applyFont="1" applyBorder="1" applyAlignment="1">
      <alignment horizontal="left" vertical="center" wrapText="1"/>
    </xf>
    <xf numFmtId="0" fontId="8" fillId="0" borderId="42" xfId="0" applyFont="1" applyBorder="1" applyAlignment="1" applyProtection="1">
      <alignment horizontal="left" vertical="center"/>
      <protection locked="0"/>
    </xf>
    <xf numFmtId="0" fontId="8" fillId="0" borderId="12" xfId="0" applyFont="1" applyBorder="1" applyAlignment="1" applyProtection="1">
      <alignment horizontal="left" vertical="center"/>
      <protection locked="0"/>
    </xf>
    <xf numFmtId="0" fontId="8" fillId="0" borderId="14" xfId="0" applyFont="1" applyBorder="1" applyAlignment="1" applyProtection="1">
      <alignment horizontal="left" vertical="center"/>
      <protection locked="0"/>
    </xf>
    <xf numFmtId="0" fontId="8" fillId="0" borderId="13" xfId="0" applyFont="1" applyBorder="1" applyAlignment="1" applyProtection="1">
      <alignment horizontal="left" vertical="center"/>
      <protection locked="0"/>
    </xf>
    <xf numFmtId="0" fontId="16" fillId="0" borderId="10" xfId="0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2" fontId="1" fillId="0" borderId="10" xfId="0" applyNumberFormat="1" applyFont="1" applyBorder="1" applyAlignment="1">
      <alignment horizontal="center" vertical="center"/>
    </xf>
    <xf numFmtId="49" fontId="16" fillId="0" borderId="10" xfId="0" applyNumberFormat="1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 textRotation="90"/>
      <protection locked="0"/>
    </xf>
    <xf numFmtId="0" fontId="1" fillId="0" borderId="15" xfId="0" applyFont="1" applyBorder="1" applyAlignment="1" applyProtection="1">
      <alignment horizontal="center" vertical="center" textRotation="90"/>
      <protection locked="0"/>
    </xf>
    <xf numFmtId="0" fontId="16" fillId="0" borderId="7" xfId="0" applyFont="1" applyBorder="1" applyAlignment="1" applyProtection="1">
      <alignment horizontal="left" vertical="center"/>
      <protection locked="0"/>
    </xf>
    <xf numFmtId="0" fontId="16" fillId="0" borderId="10" xfId="0" applyFont="1" applyBorder="1" applyAlignment="1" applyProtection="1">
      <alignment horizontal="left" vertical="center"/>
      <protection locked="0"/>
    </xf>
    <xf numFmtId="0" fontId="1" fillId="0" borderId="14" xfId="0" applyFont="1" applyBorder="1" applyAlignment="1">
      <alignment horizontal="center" vertical="center" textRotation="90"/>
    </xf>
    <xf numFmtId="0" fontId="1" fillId="0" borderId="15" xfId="0" applyFont="1" applyBorder="1" applyAlignment="1">
      <alignment horizontal="center" vertical="center" textRotation="90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6" fillId="0" borderId="11" xfId="0" applyFont="1" applyBorder="1" applyAlignment="1">
      <alignment horizontal="left" vertical="center"/>
    </xf>
    <xf numFmtId="0" fontId="4" fillId="0" borderId="42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4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3" fillId="0" borderId="43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8" fillId="0" borderId="46" xfId="0" applyFont="1" applyBorder="1" applyAlignment="1">
      <alignment horizontal="center" vertical="center"/>
    </xf>
    <xf numFmtId="0" fontId="8" fillId="0" borderId="48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0" fontId="1" fillId="0" borderId="16" xfId="0" applyFont="1" applyBorder="1" applyAlignment="1">
      <alignment horizontal="center" vertical="center" textRotation="90"/>
    </xf>
    <xf numFmtId="0" fontId="1" fillId="0" borderId="18" xfId="0" applyFont="1" applyBorder="1" applyAlignment="1">
      <alignment horizontal="center" vertical="center" textRotation="90"/>
    </xf>
    <xf numFmtId="0" fontId="8" fillId="0" borderId="42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</cellXfs>
  <cellStyles count="3">
    <cellStyle name="Hiperlink" xfId="2" builtinId="8"/>
    <cellStyle name="Normal" xfId="0" builtinId="0"/>
    <cellStyle name="Normal 3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0/07/relationships/rdRichValueWebImage" Target="richData/rdRichValueWebImage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447845</xdr:colOff>
      <xdr:row>11</xdr:row>
      <xdr:rowOff>13252</xdr:rowOff>
    </xdr:from>
    <xdr:to>
      <xdr:col>20</xdr:col>
      <xdr:colOff>553863</xdr:colOff>
      <xdr:row>20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762D668-001B-451C-90E1-2604D9204A88}"/>
            </a:ext>
          </a:extLst>
        </xdr:cNvPr>
        <xdr:cNvSpPr/>
      </xdr:nvSpPr>
      <xdr:spPr bwMode="auto">
        <a:xfrm>
          <a:off x="10882763" y="1689652"/>
          <a:ext cx="1325218" cy="135834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470452</xdr:colOff>
      <xdr:row>2</xdr:row>
      <xdr:rowOff>13252</xdr:rowOff>
    </xdr:from>
    <xdr:to>
      <xdr:col>20</xdr:col>
      <xdr:colOff>556592</xdr:colOff>
      <xdr:row>9</xdr:row>
      <xdr:rowOff>106017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EF853996-6E4E-49A4-94EF-BB2B8F4A1843}"/>
            </a:ext>
          </a:extLst>
        </xdr:cNvPr>
        <xdr:cNvSpPr/>
      </xdr:nvSpPr>
      <xdr:spPr bwMode="auto">
        <a:xfrm>
          <a:off x="10894612" y="455212"/>
          <a:ext cx="1305340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203459</xdr:colOff>
      <xdr:row>11</xdr:row>
      <xdr:rowOff>10913</xdr:rowOff>
    </xdr:from>
    <xdr:to>
      <xdr:col>18</xdr:col>
      <xdr:colOff>243216</xdr:colOff>
      <xdr:row>19</xdr:row>
      <xdr:rowOff>134471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684F58C-68F2-484C-B71D-18A5698E5C8D}"/>
            </a:ext>
          </a:extLst>
        </xdr:cNvPr>
        <xdr:cNvSpPr/>
      </xdr:nvSpPr>
      <xdr:spPr bwMode="auto">
        <a:xfrm>
          <a:off x="9419177" y="1687313"/>
          <a:ext cx="1258957" cy="134275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192157</xdr:colOff>
      <xdr:row>2</xdr:row>
      <xdr:rowOff>13252</xdr:rowOff>
    </xdr:from>
    <xdr:to>
      <xdr:col>18</xdr:col>
      <xdr:colOff>231914</xdr:colOff>
      <xdr:row>9</xdr:row>
      <xdr:rowOff>106017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EC0E72E5-5EE5-41A5-8253-43357EA7C837}"/>
            </a:ext>
          </a:extLst>
        </xdr:cNvPr>
        <xdr:cNvSpPr/>
      </xdr:nvSpPr>
      <xdr:spPr bwMode="auto">
        <a:xfrm>
          <a:off x="9397117" y="455212"/>
          <a:ext cx="125895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91440</xdr:colOff>
      <xdr:row>3</xdr:row>
      <xdr:rowOff>91440</xdr:rowOff>
    </xdr:from>
    <xdr:to>
      <xdr:col>20</xdr:col>
      <xdr:colOff>342900</xdr:colOff>
      <xdr:row>9</xdr:row>
      <xdr:rowOff>22860</xdr:rowOff>
    </xdr:to>
    <xdr:pic macro="[0]!VincularImagens">
      <xdr:nvPicPr>
        <xdr:cNvPr id="6" name="Gráfico 5" descr="Computação em Nuvem estrutura de tópicos">
          <a:extLst>
            <a:ext uri="{FF2B5EF4-FFF2-40B4-BE49-F238E27FC236}">
              <a16:creationId xmlns:a16="http://schemas.microsoft.com/office/drawing/2014/main" id="{55C95C61-9A4F-4E09-8850-9DB0DC6023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25200" y="685800"/>
          <a:ext cx="861060" cy="845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53340</xdr:colOff>
      <xdr:row>12</xdr:row>
      <xdr:rowOff>121920</xdr:rowOff>
    </xdr:from>
    <xdr:to>
      <xdr:col>20</xdr:col>
      <xdr:colOff>358140</xdr:colOff>
      <xdr:row>18</xdr:row>
      <xdr:rowOff>106680</xdr:rowOff>
    </xdr:to>
    <xdr:pic macro="[0]!AreaDeImpressaoCapa">
      <xdr:nvPicPr>
        <xdr:cNvPr id="7" name="Gráfico 7" descr="Impressora estrutura de tópicos">
          <a:extLst>
            <a:ext uri="{FF2B5EF4-FFF2-40B4-BE49-F238E27FC236}">
              <a16:creationId xmlns:a16="http://schemas.microsoft.com/office/drawing/2014/main" id="{151DB543-C13B-4DA2-B94F-15A649DFD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2087880"/>
          <a:ext cx="914400" cy="899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388620</xdr:colOff>
      <xdr:row>3</xdr:row>
      <xdr:rowOff>91440</xdr:rowOff>
    </xdr:from>
    <xdr:to>
      <xdr:col>18</xdr:col>
      <xdr:colOff>83820</xdr:colOff>
      <xdr:row>9</xdr:row>
      <xdr:rowOff>76200</xdr:rowOff>
    </xdr:to>
    <xdr:pic macro="[0]!CaputarLogos">
      <xdr:nvPicPr>
        <xdr:cNvPr id="8" name="Gráfico 8" descr="Imagens com preenchimento sólido">
          <a:extLst>
            <a:ext uri="{FF2B5EF4-FFF2-40B4-BE49-F238E27FC236}">
              <a16:creationId xmlns:a16="http://schemas.microsoft.com/office/drawing/2014/main" id="{E098CA7A-1B86-4E8E-A3EA-62DD96EA26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3580" y="685800"/>
          <a:ext cx="914400" cy="899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18</xdr:col>
      <xdr:colOff>426388</xdr:colOff>
      <xdr:row>2</xdr:row>
      <xdr:rowOff>1987</xdr:rowOff>
    </xdr:from>
    <xdr:ext cx="1424941" cy="269369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B1412890-AADE-446F-9A1F-6E38C41D69F9}"/>
            </a:ext>
          </a:extLst>
        </xdr:cNvPr>
        <xdr:cNvSpPr/>
      </xdr:nvSpPr>
      <xdr:spPr>
        <a:xfrm>
          <a:off x="10850548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72887</xdr:colOff>
      <xdr:row>2</xdr:row>
      <xdr:rowOff>13252</xdr:rowOff>
    </xdr:from>
    <xdr:ext cx="1424941" cy="26936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C1D447A-7A06-41BB-AAED-702EC9D2B2F5}"/>
            </a:ext>
          </a:extLst>
        </xdr:cNvPr>
        <xdr:cNvSpPr/>
      </xdr:nvSpPr>
      <xdr:spPr>
        <a:xfrm>
          <a:off x="9277847" y="4552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95747</xdr:colOff>
      <xdr:row>11</xdr:row>
      <xdr:rowOff>13252</xdr:rowOff>
    </xdr:from>
    <xdr:ext cx="1424941" cy="269369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CB016910-5E25-4ACF-883C-203688F971D2}"/>
            </a:ext>
          </a:extLst>
        </xdr:cNvPr>
        <xdr:cNvSpPr/>
      </xdr:nvSpPr>
      <xdr:spPr>
        <a:xfrm>
          <a:off x="9300707" y="18268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394915</xdr:colOff>
      <xdr:row>11</xdr:row>
      <xdr:rowOff>6626</xdr:rowOff>
    </xdr:from>
    <xdr:ext cx="1516380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74F9C557-5A33-4177-9106-04947B6A9341}"/>
            </a:ext>
          </a:extLst>
        </xdr:cNvPr>
        <xdr:cNvSpPr/>
      </xdr:nvSpPr>
      <xdr:spPr>
        <a:xfrm>
          <a:off x="10819075" y="1820186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  <xdr:twoCellAnchor editAs="oneCell">
    <xdr:from>
      <xdr:col>16</xdr:col>
      <xdr:colOff>349623</xdr:colOff>
      <xdr:row>13</xdr:row>
      <xdr:rowOff>26894</xdr:rowOff>
    </xdr:from>
    <xdr:to>
      <xdr:col>18</xdr:col>
      <xdr:colOff>44823</xdr:colOff>
      <xdr:row>19</xdr:row>
      <xdr:rowOff>26894</xdr:rowOff>
    </xdr:to>
    <xdr:pic macro="[0]!ExportarPDF">
      <xdr:nvPicPr>
        <xdr:cNvPr id="13" name="Gráfico 12" descr="Papel estrutura de tópicos">
          <a:extLst>
            <a:ext uri="{FF2B5EF4-FFF2-40B4-BE49-F238E27FC236}">
              <a16:creationId xmlns:a16="http://schemas.microsoft.com/office/drawing/2014/main" id="{E72B51C4-19A1-4B84-B773-AABBC52B1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554583" y="2145254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470452</xdr:colOff>
      <xdr:row>4</xdr:row>
      <xdr:rowOff>13252</xdr:rowOff>
    </xdr:from>
    <xdr:to>
      <xdr:col>58</xdr:col>
      <xdr:colOff>556592</xdr:colOff>
      <xdr:row>11</xdr:row>
      <xdr:rowOff>106017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7E4F081-C8EF-44B3-A61D-C2112E53247F}"/>
            </a:ext>
          </a:extLst>
        </xdr:cNvPr>
        <xdr:cNvSpPr/>
      </xdr:nvSpPr>
      <xdr:spPr bwMode="auto">
        <a:xfrm>
          <a:off x="10894612" y="455212"/>
          <a:ext cx="1305340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55</xdr:col>
      <xdr:colOff>284141</xdr:colOff>
      <xdr:row>13</xdr:row>
      <xdr:rowOff>1948</xdr:rowOff>
    </xdr:from>
    <xdr:to>
      <xdr:col>57</xdr:col>
      <xdr:colOff>323898</xdr:colOff>
      <xdr:row>20</xdr:row>
      <xdr:rowOff>61582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8B46267-6F27-4A17-B7CD-49E8C245CABA}"/>
            </a:ext>
          </a:extLst>
        </xdr:cNvPr>
        <xdr:cNvSpPr/>
      </xdr:nvSpPr>
      <xdr:spPr bwMode="auto">
        <a:xfrm>
          <a:off x="9553647" y="2628607"/>
          <a:ext cx="1294816" cy="131469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54</xdr:col>
      <xdr:colOff>192157</xdr:colOff>
      <xdr:row>4</xdr:row>
      <xdr:rowOff>13252</xdr:rowOff>
    </xdr:from>
    <xdr:to>
      <xdr:col>56</xdr:col>
      <xdr:colOff>231914</xdr:colOff>
      <xdr:row>11</xdr:row>
      <xdr:rowOff>106017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6B3B9CB6-2B58-4150-B0D3-BAD77474E97B}"/>
            </a:ext>
          </a:extLst>
        </xdr:cNvPr>
        <xdr:cNvSpPr/>
      </xdr:nvSpPr>
      <xdr:spPr bwMode="auto">
        <a:xfrm>
          <a:off x="9397117" y="455212"/>
          <a:ext cx="125895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57</xdr:col>
      <xdr:colOff>91440</xdr:colOff>
      <xdr:row>5</xdr:row>
      <xdr:rowOff>91440</xdr:rowOff>
    </xdr:from>
    <xdr:to>
      <xdr:col>58</xdr:col>
      <xdr:colOff>327660</xdr:colOff>
      <xdr:row>10</xdr:row>
      <xdr:rowOff>22860</xdr:rowOff>
    </xdr:to>
    <xdr:pic macro="[0]!VincularImagens">
      <xdr:nvPicPr>
        <xdr:cNvPr id="6" name="Gráfico 5" descr="Computação em Nuvem estrutura de tópicos">
          <a:extLst>
            <a:ext uri="{FF2B5EF4-FFF2-40B4-BE49-F238E27FC236}">
              <a16:creationId xmlns:a16="http://schemas.microsoft.com/office/drawing/2014/main" id="{9FD39D90-FE4F-4DB5-96B8-2495B1DA5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25200" y="685800"/>
          <a:ext cx="861060" cy="845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54</xdr:col>
      <xdr:colOff>388620</xdr:colOff>
      <xdr:row>5</xdr:row>
      <xdr:rowOff>91440</xdr:rowOff>
    </xdr:from>
    <xdr:to>
      <xdr:col>56</xdr:col>
      <xdr:colOff>53340</xdr:colOff>
      <xdr:row>10</xdr:row>
      <xdr:rowOff>76200</xdr:rowOff>
    </xdr:to>
    <xdr:pic macro="[0]!CaputarLogos">
      <xdr:nvPicPr>
        <xdr:cNvPr id="8" name="Gráfico 8" descr="Imagens com preenchimento sólido">
          <a:extLst>
            <a:ext uri="{FF2B5EF4-FFF2-40B4-BE49-F238E27FC236}">
              <a16:creationId xmlns:a16="http://schemas.microsoft.com/office/drawing/2014/main" id="{67B0014B-A8C1-4014-82EE-6DD128688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3580" y="685800"/>
          <a:ext cx="914400" cy="899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56</xdr:col>
      <xdr:colOff>426388</xdr:colOff>
      <xdr:row>4</xdr:row>
      <xdr:rowOff>1987</xdr:rowOff>
    </xdr:from>
    <xdr:ext cx="1424941" cy="269369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9DA1452D-61BD-40C6-ABD7-F1F488F69546}"/>
            </a:ext>
          </a:extLst>
        </xdr:cNvPr>
        <xdr:cNvSpPr/>
      </xdr:nvSpPr>
      <xdr:spPr>
        <a:xfrm>
          <a:off x="10850548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54</xdr:col>
      <xdr:colOff>72887</xdr:colOff>
      <xdr:row>4</xdr:row>
      <xdr:rowOff>13252</xdr:rowOff>
    </xdr:from>
    <xdr:ext cx="1424941" cy="26936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19507EE6-292A-4F6D-887E-47E6AD476986}"/>
            </a:ext>
          </a:extLst>
        </xdr:cNvPr>
        <xdr:cNvSpPr/>
      </xdr:nvSpPr>
      <xdr:spPr>
        <a:xfrm>
          <a:off x="9277847" y="4552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55</xdr:col>
      <xdr:colOff>194358</xdr:colOff>
      <xdr:row>12</xdr:row>
      <xdr:rowOff>174617</xdr:rowOff>
    </xdr:from>
    <xdr:ext cx="1424941" cy="269369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1D5C2DDD-39E5-40F0-A84C-CA12EAD3DAAD}"/>
            </a:ext>
          </a:extLst>
        </xdr:cNvPr>
        <xdr:cNvSpPr/>
      </xdr:nvSpPr>
      <xdr:spPr>
        <a:xfrm>
          <a:off x="9463864" y="262198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twoCellAnchor editAs="oneCell">
    <xdr:from>
      <xdr:col>55</xdr:col>
      <xdr:colOff>466164</xdr:colOff>
      <xdr:row>14</xdr:row>
      <xdr:rowOff>80682</xdr:rowOff>
    </xdr:from>
    <xdr:to>
      <xdr:col>57</xdr:col>
      <xdr:colOff>130884</xdr:colOff>
      <xdr:row>19</xdr:row>
      <xdr:rowOff>80682</xdr:rowOff>
    </xdr:to>
    <xdr:pic macro="[0]!ExportarPDF">
      <xdr:nvPicPr>
        <xdr:cNvPr id="13" name="Gráfico 12" descr="Papel estrutura de tópicos">
          <a:extLst>
            <a:ext uri="{FF2B5EF4-FFF2-40B4-BE49-F238E27FC236}">
              <a16:creationId xmlns:a16="http://schemas.microsoft.com/office/drawing/2014/main" id="{33D90C27-B84C-4A49-B18A-854FDDC39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735670" y="2886635"/>
          <a:ext cx="919779" cy="896471"/>
        </a:xfrm>
        <a:prstGeom prst="rect">
          <a:avLst/>
        </a:prstGeom>
      </xdr:spPr>
    </xdr:pic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039EBE-D6CC-44F7-96D1-B88C03604135}" name="TDados" displayName="TDados" ref="A1:I2" totalsRowShown="0">
  <autoFilter ref="A1:I2" xr:uid="{00000000-0009-0000-0100-000001000000}"/>
  <tableColumns count="9">
    <tableColumn id="1" xr3:uid="{8580FB1B-1936-4E33-8334-F7DEAB710866}" name="id"/>
    <tableColumn id="2" xr3:uid="{24141CEF-E408-4A3E-A672-E5F4B6AC416F}" name="logoCliente" dataCellStyle="Hiperlink"/>
    <tableColumn id="3" xr3:uid="{8E7B65F6-3093-4E7F-838A-943EDEF9E9A9}" name="nomeCliente"/>
    <tableColumn id="4" xr3:uid="{52D8BF62-E7B7-438B-AB8D-7AC0D999BCFB}" name="numProjeto"/>
    <tableColumn id="5" xr3:uid="{700AB8C4-F929-4713-8DAA-30F3FF50C0EE}" name="cidadeCliente"/>
    <tableColumn id="6" xr3:uid="{2F3F5CD7-7D1C-4CEA-9464-7B3C9B6935F7}" name="siglaProjeto"/>
    <tableColumn id="7" xr3:uid="{78432357-A92B-4704-A816-BA62EBCA7226}" name="solicitante"/>
    <tableColumn id="8" xr3:uid="{6A3A2884-5E1B-454D-ADD5-AA24FF4271C1}" name="responsavelTecnico"/>
    <tableColumn id="9" xr3:uid="{1CB41F67-FB6C-44B7-A984-A970F5FC61A3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../transfer/Logos/Technik.p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B90A6-9B80-4800-945A-B0323C86C150}">
  <sheetPr codeName="Planilha1">
    <tabColor rgb="FF92D050"/>
  </sheetPr>
  <dimension ref="A1:I2"/>
  <sheetViews>
    <sheetView workbookViewId="0">
      <selection sqref="A1:J4"/>
    </sheetView>
  </sheetViews>
  <sheetFormatPr defaultRowHeight="13.2" x14ac:dyDescent="0.25"/>
  <cols>
    <col min="1" max="1" width="10" customWidth="1"/>
    <col min="2" max="2" width="58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77734375" bestFit="1" customWidth="1"/>
    <col min="9" max="9" width="9.5546875" bestFit="1" customWidth="1"/>
  </cols>
  <sheetData>
    <row r="1" spans="1:9" x14ac:dyDescent="0.25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</row>
    <row r="2" spans="1:9" x14ac:dyDescent="0.25">
      <c r="A2">
        <v>1</v>
      </c>
      <c r="B2" s="31" t="s">
        <v>175</v>
      </c>
    </row>
  </sheetData>
  <hyperlinks>
    <hyperlink ref="B2" r:id="rId1" xr:uid="{6BD8EB49-49FC-4807-820B-A700A870F71D}"/>
  </hyperlinks>
  <pageMargins left="0.511811024" right="0.511811024" top="0.78740157499999996" bottom="0.78740157499999996" header="0.31496062000000002" footer="0.31496062000000002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D1A9D-E0BC-4A8A-895F-D2B504A9284A}">
  <sheetPr codeName="Planilha2">
    <pageSetUpPr fitToPage="1"/>
  </sheetPr>
  <dimension ref="A1:W84"/>
  <sheetViews>
    <sheetView showGridLines="0" view="pageBreakPreview" topLeftCell="A40" zoomScale="85" zoomScaleNormal="85" zoomScaleSheetLayoutView="85" workbookViewId="0">
      <selection activeCell="B49" sqref="B49:N50"/>
    </sheetView>
  </sheetViews>
  <sheetFormatPr defaultRowHeight="12" customHeight="1" x14ac:dyDescent="0.25"/>
  <cols>
    <col min="1" max="12" width="8.21875" customWidth="1"/>
  </cols>
  <sheetData>
    <row r="1" spans="1:22" ht="12" customHeight="1" x14ac:dyDescent="0.25">
      <c r="A1" s="88" t="e" vm="1">
        <f>_xlfn.IMAGE(TDados[logoCliente])</f>
        <v>#VALUE!</v>
      </c>
      <c r="B1" s="89"/>
      <c r="C1" s="89"/>
      <c r="D1" s="90" t="s">
        <v>0</v>
      </c>
      <c r="E1" s="90"/>
      <c r="F1" s="90"/>
      <c r="G1" s="90"/>
      <c r="H1" s="90"/>
      <c r="I1" s="92" t="s">
        <v>160</v>
      </c>
      <c r="J1" s="94" t="str">
        <f>"FD-"&amp;Config!D2&amp;"-"&amp;Config!F2&amp;"-001"</f>
        <v>FD---001</v>
      </c>
      <c r="K1" s="94"/>
      <c r="L1" s="94"/>
      <c r="M1" s="94"/>
      <c r="N1" s="94"/>
      <c r="O1" s="95"/>
    </row>
    <row r="2" spans="1:22" ht="12" customHeight="1" x14ac:dyDescent="0.25">
      <c r="A2" s="75"/>
      <c r="B2" s="76"/>
      <c r="C2" s="76"/>
      <c r="D2" s="91"/>
      <c r="E2" s="91"/>
      <c r="F2" s="91"/>
      <c r="G2" s="91"/>
      <c r="H2" s="91"/>
      <c r="I2" s="93"/>
      <c r="J2" s="86"/>
      <c r="K2" s="86"/>
      <c r="L2" s="86"/>
      <c r="M2" s="86"/>
      <c r="N2" s="86"/>
      <c r="O2" s="87"/>
    </row>
    <row r="3" spans="1:22" ht="12" customHeight="1" x14ac:dyDescent="0.25">
      <c r="A3" s="75"/>
      <c r="B3" s="76"/>
      <c r="C3" s="76"/>
      <c r="D3" s="52" t="s">
        <v>161</v>
      </c>
      <c r="E3" s="82">
        <f>Config!C2</f>
        <v>0</v>
      </c>
      <c r="F3" s="82"/>
      <c r="G3" s="82"/>
      <c r="H3" s="82"/>
      <c r="I3" s="82"/>
      <c r="J3" s="82"/>
      <c r="K3" s="82"/>
      <c r="L3" s="82"/>
      <c r="M3" s="82"/>
      <c r="N3" s="82"/>
      <c r="O3" s="83"/>
    </row>
    <row r="4" spans="1:22" ht="12" customHeight="1" x14ac:dyDescent="0.25">
      <c r="A4" s="78"/>
      <c r="B4" s="79"/>
      <c r="C4" s="79"/>
      <c r="D4" s="81"/>
      <c r="E4" s="86"/>
      <c r="F4" s="86"/>
      <c r="G4" s="86"/>
      <c r="H4" s="86"/>
      <c r="I4" s="86"/>
      <c r="J4" s="86"/>
      <c r="K4" s="86"/>
      <c r="L4" s="86"/>
      <c r="M4" s="86"/>
      <c r="N4" s="86"/>
      <c r="O4" s="87"/>
    </row>
    <row r="5" spans="1:22" ht="12" customHeight="1" x14ac:dyDescent="0.25">
      <c r="A5" s="72" t="e" vm="1">
        <f t="shared" ref="A5" si="0">_xlfn.IMAGE("https://technikgrupo.sharepoint.com/sites/transfer/Logos/Technik.png")</f>
        <v>#VALUE!</v>
      </c>
      <c r="B5" s="73"/>
      <c r="C5" s="74"/>
      <c r="D5" s="52" t="s">
        <v>162</v>
      </c>
      <c r="E5" s="82">
        <f>Config!E2</f>
        <v>0</v>
      </c>
      <c r="F5" s="82"/>
      <c r="G5" s="82"/>
      <c r="H5" s="82"/>
      <c r="I5" s="82"/>
      <c r="J5" s="82"/>
      <c r="K5" s="82"/>
      <c r="L5" s="82"/>
      <c r="M5" s="82"/>
      <c r="N5" s="82"/>
      <c r="O5" s="83"/>
    </row>
    <row r="6" spans="1:22" ht="12" customHeight="1" x14ac:dyDescent="0.25">
      <c r="A6" s="75"/>
      <c r="B6" s="76"/>
      <c r="C6" s="77"/>
      <c r="D6" s="81"/>
      <c r="E6" s="84"/>
      <c r="F6" s="84"/>
      <c r="G6" s="84"/>
      <c r="H6" s="84"/>
      <c r="I6" s="84"/>
      <c r="J6" s="84"/>
      <c r="K6" s="84"/>
      <c r="L6" s="84"/>
      <c r="M6" s="84"/>
      <c r="N6" s="84"/>
      <c r="O6" s="85"/>
    </row>
    <row r="7" spans="1:22" ht="12" customHeight="1" x14ac:dyDescent="0.25">
      <c r="A7" s="75"/>
      <c r="B7" s="76"/>
      <c r="C7" s="77"/>
      <c r="D7" s="52" t="s">
        <v>163</v>
      </c>
      <c r="E7" s="82" t="s">
        <v>164</v>
      </c>
      <c r="F7" s="82"/>
      <c r="G7" s="82"/>
      <c r="H7" s="82"/>
      <c r="I7" s="82"/>
      <c r="J7" s="82"/>
      <c r="K7" s="82"/>
      <c r="L7" s="82"/>
      <c r="M7" s="82"/>
      <c r="N7" s="82"/>
      <c r="O7" s="83"/>
    </row>
    <row r="8" spans="1:22" ht="12" customHeight="1" x14ac:dyDescent="0.25">
      <c r="A8" s="78"/>
      <c r="B8" s="79"/>
      <c r="C8" s="80"/>
      <c r="D8" s="81"/>
      <c r="E8" s="86"/>
      <c r="F8" s="86"/>
      <c r="G8" s="86"/>
      <c r="H8" s="86"/>
      <c r="I8" s="86"/>
      <c r="J8" s="86"/>
      <c r="K8" s="86"/>
      <c r="L8" s="86"/>
      <c r="M8" s="86"/>
      <c r="N8" s="86"/>
      <c r="O8" s="87"/>
    </row>
    <row r="9" spans="1:22" ht="12" customHeight="1" x14ac:dyDescent="0.25">
      <c r="A9" s="46" t="s">
        <v>1</v>
      </c>
      <c r="B9" s="47"/>
      <c r="C9" s="48"/>
      <c r="D9" s="52" t="s">
        <v>165</v>
      </c>
      <c r="E9" s="54" t="s">
        <v>174</v>
      </c>
      <c r="F9" s="54"/>
      <c r="G9" s="54"/>
      <c r="H9" s="54"/>
      <c r="I9" s="54"/>
      <c r="J9" s="54"/>
      <c r="K9" s="54"/>
      <c r="L9" s="54"/>
      <c r="M9" s="54"/>
      <c r="N9" s="54"/>
      <c r="O9" s="55"/>
    </row>
    <row r="10" spans="1:22" ht="12" customHeight="1" thickBot="1" x14ac:dyDescent="0.3">
      <c r="A10" s="49"/>
      <c r="B10" s="50"/>
      <c r="C10" s="51"/>
      <c r="D10" s="53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7"/>
    </row>
    <row r="11" spans="1:22" ht="12" customHeight="1" x14ac:dyDescent="0.25">
      <c r="A11" s="58" t="s">
        <v>166</v>
      </c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60"/>
    </row>
    <row r="12" spans="1:22" ht="12" customHeight="1" x14ac:dyDescent="0.25">
      <c r="A12" s="61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3"/>
      <c r="T12" s="29"/>
      <c r="U12" s="29"/>
      <c r="V12" s="29"/>
    </row>
    <row r="13" spans="1:22" ht="12" customHeight="1" x14ac:dyDescent="0.25">
      <c r="A13" s="64" t="s">
        <v>2</v>
      </c>
      <c r="B13" s="66" t="s">
        <v>167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8"/>
      <c r="T13" s="29"/>
      <c r="U13" s="29"/>
      <c r="V13" s="29"/>
    </row>
    <row r="14" spans="1:22" ht="12" customHeight="1" thickBot="1" x14ac:dyDescent="0.3">
      <c r="A14" s="65"/>
      <c r="B14" s="69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1"/>
      <c r="T14" s="29"/>
      <c r="U14" s="29"/>
      <c r="V14" s="29"/>
    </row>
    <row r="15" spans="1:22" ht="12" customHeight="1" x14ac:dyDescent="0.25">
      <c r="A15" s="38" t="s">
        <v>176</v>
      </c>
      <c r="B15" s="39" t="s">
        <v>177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2"/>
      <c r="T15" s="29"/>
      <c r="U15" s="29"/>
      <c r="V15" s="29"/>
    </row>
    <row r="16" spans="1:22" ht="12" customHeight="1" x14ac:dyDescent="0.25">
      <c r="A16" s="38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2"/>
      <c r="T16" s="29"/>
      <c r="U16" s="29"/>
      <c r="V16" s="29"/>
    </row>
    <row r="17" spans="1:22" ht="12" customHeight="1" x14ac:dyDescent="0.25">
      <c r="A17" s="38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2"/>
      <c r="T17" s="29"/>
      <c r="U17" s="29"/>
      <c r="V17" s="29"/>
    </row>
    <row r="18" spans="1:22" ht="12" customHeight="1" x14ac:dyDescent="0.25">
      <c r="A18" s="38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2"/>
      <c r="T18" s="29"/>
      <c r="U18" s="29"/>
      <c r="V18" s="29"/>
    </row>
    <row r="19" spans="1:22" ht="12" customHeight="1" x14ac:dyDescent="0.25">
      <c r="A19" s="38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2"/>
      <c r="T19" s="29"/>
      <c r="U19" s="29"/>
      <c r="V19" s="29"/>
    </row>
    <row r="20" spans="1:22" ht="12" customHeight="1" x14ac:dyDescent="0.25">
      <c r="A20" s="38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2"/>
      <c r="S20" s="29"/>
      <c r="T20" s="29"/>
      <c r="U20" s="29"/>
      <c r="V20" s="29"/>
    </row>
    <row r="21" spans="1:22" ht="12" customHeight="1" x14ac:dyDescent="0.25">
      <c r="A21" s="38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2"/>
    </row>
    <row r="22" spans="1:22" ht="12" customHeight="1" x14ac:dyDescent="0.25">
      <c r="A22" s="38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2"/>
    </row>
    <row r="23" spans="1:22" ht="12" customHeight="1" x14ac:dyDescent="0.25">
      <c r="A23" s="38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2"/>
    </row>
    <row r="24" spans="1:22" ht="12" customHeight="1" x14ac:dyDescent="0.25">
      <c r="A24" s="38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2"/>
    </row>
    <row r="25" spans="1:22" ht="12" customHeight="1" x14ac:dyDescent="0.25">
      <c r="A25" s="38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2"/>
      <c r="S25" s="30"/>
      <c r="T25" s="29"/>
      <c r="U25" s="29"/>
      <c r="V25" s="29"/>
    </row>
    <row r="26" spans="1:22" ht="12" customHeight="1" x14ac:dyDescent="0.25">
      <c r="A26" s="38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2"/>
    </row>
    <row r="27" spans="1:22" ht="12" customHeight="1" x14ac:dyDescent="0.25">
      <c r="A27" s="38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2"/>
    </row>
    <row r="28" spans="1:22" ht="12" customHeight="1" x14ac:dyDescent="0.25">
      <c r="A28" s="38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2"/>
    </row>
    <row r="29" spans="1:22" ht="12" customHeight="1" x14ac:dyDescent="0.25">
      <c r="A29" s="38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2"/>
    </row>
    <row r="30" spans="1:22" ht="12" customHeight="1" x14ac:dyDescent="0.25">
      <c r="A30" s="38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2"/>
    </row>
    <row r="31" spans="1:22" ht="12" customHeight="1" x14ac:dyDescent="0.25">
      <c r="A31" s="38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2"/>
    </row>
    <row r="32" spans="1:22" ht="12" customHeight="1" x14ac:dyDescent="0.25">
      <c r="A32" s="38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2"/>
    </row>
    <row r="33" spans="1:23" ht="12" customHeight="1" x14ac:dyDescent="0.25">
      <c r="A33" s="38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2"/>
    </row>
    <row r="34" spans="1:23" ht="12" customHeight="1" x14ac:dyDescent="0.25">
      <c r="A34" s="38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2"/>
    </row>
    <row r="35" spans="1:23" ht="12" customHeight="1" x14ac:dyDescent="0.25">
      <c r="A35" s="38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2"/>
      <c r="T35" s="29"/>
      <c r="U35" s="29"/>
      <c r="V35" s="29"/>
      <c r="W35" s="29"/>
    </row>
    <row r="36" spans="1:23" ht="12" customHeight="1" x14ac:dyDescent="0.25">
      <c r="A36" s="38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2"/>
      <c r="T36" s="29"/>
      <c r="U36" s="29"/>
      <c r="V36" s="29"/>
      <c r="W36" s="29"/>
    </row>
    <row r="37" spans="1:23" ht="12" customHeight="1" x14ac:dyDescent="0.25">
      <c r="A37" s="38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2"/>
      <c r="T37" s="29"/>
      <c r="U37" s="29"/>
      <c r="V37" s="29"/>
      <c r="W37" s="29"/>
    </row>
    <row r="38" spans="1:23" ht="12" customHeight="1" x14ac:dyDescent="0.25">
      <c r="A38" s="38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2"/>
      <c r="T38" s="29"/>
      <c r="U38" s="29"/>
      <c r="V38" s="29"/>
      <c r="W38" s="29"/>
    </row>
    <row r="39" spans="1:23" ht="12" customHeight="1" x14ac:dyDescent="0.25">
      <c r="A39" s="38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2"/>
      <c r="T39" s="29"/>
      <c r="U39" s="29"/>
      <c r="V39" s="29"/>
      <c r="W39" s="29"/>
    </row>
    <row r="40" spans="1:23" ht="12" customHeight="1" x14ac:dyDescent="0.25">
      <c r="A40" s="38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2"/>
      <c r="T40" s="29"/>
      <c r="U40" s="29"/>
      <c r="V40" s="29"/>
      <c r="W40" s="29"/>
    </row>
    <row r="41" spans="1:23" ht="12" customHeight="1" x14ac:dyDescent="0.25">
      <c r="A41" s="38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2"/>
      <c r="T41" s="29"/>
      <c r="U41" s="29"/>
      <c r="V41" s="29"/>
      <c r="W41" s="29"/>
    </row>
    <row r="42" spans="1:23" ht="12" customHeight="1" x14ac:dyDescent="0.25">
      <c r="A42" s="38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2"/>
      <c r="T42" s="29"/>
      <c r="U42" s="29"/>
      <c r="V42" s="29"/>
      <c r="W42" s="29"/>
    </row>
    <row r="43" spans="1:23" ht="12" customHeight="1" x14ac:dyDescent="0.25">
      <c r="A43" s="38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2"/>
    </row>
    <row r="44" spans="1:23" ht="12" customHeight="1" x14ac:dyDescent="0.25">
      <c r="A44" s="38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2"/>
    </row>
    <row r="45" spans="1:23" ht="12" customHeight="1" x14ac:dyDescent="0.25">
      <c r="A45" s="38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2"/>
    </row>
    <row r="46" spans="1:23" ht="12" customHeight="1" thickBot="1" x14ac:dyDescent="0.3">
      <c r="A46" s="38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2"/>
    </row>
    <row r="47" spans="1:23" ht="12" customHeight="1" x14ac:dyDescent="0.25">
      <c r="A47" s="40" t="s">
        <v>168</v>
      </c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2"/>
    </row>
    <row r="48" spans="1:23" ht="12" customHeight="1" thickBot="1" x14ac:dyDescent="0.3">
      <c r="A48" s="43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5"/>
    </row>
    <row r="49" spans="1:15" ht="12" customHeight="1" x14ac:dyDescent="0.25">
      <c r="A49" s="38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2"/>
    </row>
    <row r="50" spans="1:15" ht="12" customHeight="1" x14ac:dyDescent="0.25">
      <c r="A50" s="38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2"/>
    </row>
    <row r="51" spans="1:15" ht="12" customHeight="1" x14ac:dyDescent="0.25">
      <c r="A51" s="38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2"/>
    </row>
    <row r="52" spans="1:15" ht="12" customHeight="1" x14ac:dyDescent="0.25">
      <c r="A52" s="38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2"/>
    </row>
    <row r="53" spans="1:15" ht="12" customHeight="1" x14ac:dyDescent="0.25">
      <c r="A53" s="38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2"/>
    </row>
    <row r="54" spans="1:15" ht="12" customHeight="1" x14ac:dyDescent="0.25">
      <c r="A54" s="38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2"/>
    </row>
    <row r="55" spans="1:15" ht="12" customHeight="1" x14ac:dyDescent="0.25">
      <c r="A55" s="38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2"/>
    </row>
    <row r="56" spans="1:15" ht="12" customHeight="1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2"/>
    </row>
    <row r="57" spans="1:15" ht="12" customHeight="1" x14ac:dyDescent="0.25">
      <c r="A57" s="38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2"/>
    </row>
    <row r="58" spans="1:15" ht="12" customHeight="1" x14ac:dyDescent="0.25">
      <c r="A58" s="38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2"/>
    </row>
    <row r="59" spans="1:15" ht="12" customHeight="1" x14ac:dyDescent="0.25">
      <c r="A59" s="38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2"/>
    </row>
    <row r="60" spans="1:15" ht="12" customHeight="1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2"/>
    </row>
    <row r="61" spans="1:15" ht="12" customHeight="1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2"/>
    </row>
    <row r="62" spans="1:15" ht="12" customHeight="1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2"/>
    </row>
    <row r="63" spans="1:15" ht="12" customHeight="1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2"/>
    </row>
    <row r="64" spans="1:15" ht="12" customHeight="1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2"/>
    </row>
    <row r="65" spans="1:15" ht="12" customHeight="1" x14ac:dyDescent="0.25">
      <c r="A65" s="38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2"/>
    </row>
    <row r="66" spans="1:15" ht="12" customHeight="1" x14ac:dyDescent="0.25">
      <c r="A66" s="38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2"/>
    </row>
    <row r="67" spans="1:15" ht="12" customHeight="1" x14ac:dyDescent="0.25">
      <c r="A67" s="38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2"/>
    </row>
    <row r="68" spans="1:15" ht="12" customHeight="1" x14ac:dyDescent="0.25">
      <c r="A68" s="38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2"/>
    </row>
    <row r="69" spans="1:15" ht="12" customHeight="1" x14ac:dyDescent="0.25">
      <c r="A69" s="38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2"/>
    </row>
    <row r="70" spans="1:15" ht="12" customHeight="1" x14ac:dyDescent="0.25">
      <c r="A70" s="38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2"/>
    </row>
    <row r="71" spans="1:15" ht="12" customHeight="1" x14ac:dyDescent="0.25">
      <c r="A71" s="38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2"/>
    </row>
    <row r="72" spans="1:15" ht="12" customHeight="1" x14ac:dyDescent="0.25">
      <c r="A72" s="38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2"/>
    </row>
    <row r="73" spans="1:15" ht="12" customHeight="1" x14ac:dyDescent="0.25">
      <c r="A73" s="38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2"/>
    </row>
    <row r="74" spans="1:15" ht="12" customHeight="1" x14ac:dyDescent="0.25">
      <c r="A74" s="38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2"/>
    </row>
    <row r="75" spans="1:15" ht="12" customHeight="1" x14ac:dyDescent="0.25">
      <c r="A75" s="1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2"/>
    </row>
    <row r="76" spans="1:15" ht="12" customHeight="1" x14ac:dyDescent="0.25">
      <c r="A76" s="38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2"/>
    </row>
    <row r="77" spans="1:15" ht="12" customHeight="1" x14ac:dyDescent="0.25">
      <c r="A77" s="38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2"/>
    </row>
    <row r="78" spans="1:15" ht="12" customHeight="1" x14ac:dyDescent="0.25">
      <c r="A78" s="38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2"/>
    </row>
    <row r="79" spans="1:15" ht="12" customHeight="1" x14ac:dyDescent="0.25">
      <c r="A79" s="38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2"/>
    </row>
    <row r="80" spans="1:15" ht="12" customHeight="1" x14ac:dyDescent="0.25">
      <c r="A80" s="96" t="s">
        <v>169</v>
      </c>
      <c r="B80" s="97"/>
      <c r="C80" s="98"/>
      <c r="D80" s="2">
        <v>0</v>
      </c>
      <c r="E80" s="2">
        <v>1</v>
      </c>
      <c r="F80" s="2">
        <v>2</v>
      </c>
      <c r="G80" s="2">
        <v>3</v>
      </c>
      <c r="H80" s="2">
        <v>4</v>
      </c>
      <c r="I80" s="2">
        <v>5</v>
      </c>
      <c r="J80" s="2">
        <v>6</v>
      </c>
      <c r="K80" s="2">
        <v>7</v>
      </c>
      <c r="L80" s="2">
        <v>8</v>
      </c>
      <c r="M80" s="33">
        <v>9</v>
      </c>
      <c r="N80" s="33">
        <v>10</v>
      </c>
      <c r="O80" s="3">
        <v>11</v>
      </c>
    </row>
    <row r="81" spans="1:15" ht="12" customHeight="1" x14ac:dyDescent="0.25">
      <c r="A81" s="96" t="s">
        <v>170</v>
      </c>
      <c r="B81" s="97"/>
      <c r="C81" s="98"/>
      <c r="D81" s="4">
        <f ca="1">TODAY()</f>
        <v>45714</v>
      </c>
      <c r="E81" s="34"/>
      <c r="F81" s="2"/>
      <c r="G81" s="2"/>
      <c r="H81" s="2"/>
      <c r="I81" s="2"/>
      <c r="J81" s="2"/>
      <c r="K81" s="2"/>
      <c r="L81" s="2"/>
      <c r="M81" s="33"/>
      <c r="N81" s="33"/>
      <c r="O81" s="3"/>
    </row>
    <row r="82" spans="1:15" ht="12" customHeight="1" x14ac:dyDescent="0.25">
      <c r="A82" s="96" t="s">
        <v>171</v>
      </c>
      <c r="B82" s="97"/>
      <c r="C82" s="98"/>
      <c r="D82" s="2" cm="1">
        <f t="array" ref="D82">TDados[numProjeto]</f>
        <v>0</v>
      </c>
      <c r="E82" s="4"/>
      <c r="F82" s="5"/>
      <c r="G82" s="5"/>
      <c r="H82" s="5"/>
      <c r="I82" s="5"/>
      <c r="J82" s="5"/>
      <c r="K82" s="5"/>
      <c r="L82" s="5"/>
      <c r="M82" s="35"/>
      <c r="N82" s="35"/>
      <c r="O82" s="6"/>
    </row>
    <row r="83" spans="1:15" ht="12" customHeight="1" x14ac:dyDescent="0.25">
      <c r="A83" s="96" t="s">
        <v>172</v>
      </c>
      <c r="B83" s="97"/>
      <c r="C83" s="98"/>
      <c r="D83" s="4" t="s">
        <v>4</v>
      </c>
      <c r="E83" s="4"/>
      <c r="F83" s="5"/>
      <c r="G83" s="5"/>
      <c r="H83" s="5"/>
      <c r="I83" s="5"/>
      <c r="J83" s="5"/>
      <c r="K83" s="5"/>
      <c r="L83" s="5"/>
      <c r="M83" s="35"/>
      <c r="N83" s="35"/>
      <c r="O83" s="6"/>
    </row>
    <row r="84" spans="1:15" ht="12" customHeight="1" thickBot="1" x14ac:dyDescent="0.3">
      <c r="A84" s="99" t="s">
        <v>173</v>
      </c>
      <c r="B84" s="100"/>
      <c r="C84" s="101"/>
      <c r="D84" s="36" t="s">
        <v>178</v>
      </c>
      <c r="E84" s="36"/>
      <c r="F84" s="7"/>
      <c r="G84" s="7"/>
      <c r="H84" s="7"/>
      <c r="I84" s="7"/>
      <c r="J84" s="7"/>
      <c r="K84" s="7"/>
      <c r="L84" s="7"/>
      <c r="M84" s="37"/>
      <c r="N84" s="37"/>
      <c r="O84" s="8"/>
    </row>
  </sheetData>
  <mergeCells count="86">
    <mergeCell ref="A83:C83"/>
    <mergeCell ref="A84:C84"/>
    <mergeCell ref="A78:A79"/>
    <mergeCell ref="B78:N79"/>
    <mergeCell ref="A80:C80"/>
    <mergeCell ref="A81:C81"/>
    <mergeCell ref="A82:C82"/>
    <mergeCell ref="A57:A58"/>
    <mergeCell ref="B57:N58"/>
    <mergeCell ref="A59:A60"/>
    <mergeCell ref="B59:N60"/>
    <mergeCell ref="A76:A77"/>
    <mergeCell ref="B76:N77"/>
    <mergeCell ref="A69:A70"/>
    <mergeCell ref="B69:N70"/>
    <mergeCell ref="B71:N72"/>
    <mergeCell ref="B73:N74"/>
    <mergeCell ref="A71:A72"/>
    <mergeCell ref="A73:A74"/>
    <mergeCell ref="B75:N75"/>
    <mergeCell ref="A25:A26"/>
    <mergeCell ref="B25:N26"/>
    <mergeCell ref="A17:A18"/>
    <mergeCell ref="B35:N36"/>
    <mergeCell ref="A37:A38"/>
    <mergeCell ref="B37:N38"/>
    <mergeCell ref="A27:A28"/>
    <mergeCell ref="B27:N28"/>
    <mergeCell ref="A29:A30"/>
    <mergeCell ref="B29:N30"/>
    <mergeCell ref="A31:A32"/>
    <mergeCell ref="B31:N32"/>
    <mergeCell ref="A33:A34"/>
    <mergeCell ref="B33:N34"/>
    <mergeCell ref="A35:A36"/>
    <mergeCell ref="A1:C4"/>
    <mergeCell ref="D1:H2"/>
    <mergeCell ref="I1:I2"/>
    <mergeCell ref="J1:O2"/>
    <mergeCell ref="D3:D4"/>
    <mergeCell ref="E3:O4"/>
    <mergeCell ref="A5:C8"/>
    <mergeCell ref="D5:D6"/>
    <mergeCell ref="E5:O6"/>
    <mergeCell ref="D7:D8"/>
    <mergeCell ref="E7:O8"/>
    <mergeCell ref="A9:C10"/>
    <mergeCell ref="D9:D10"/>
    <mergeCell ref="E9:O10"/>
    <mergeCell ref="A11:O12"/>
    <mergeCell ref="A13:A14"/>
    <mergeCell ref="B13:O14"/>
    <mergeCell ref="A15:A16"/>
    <mergeCell ref="B15:N16"/>
    <mergeCell ref="A19:A20"/>
    <mergeCell ref="A21:A22"/>
    <mergeCell ref="A23:A24"/>
    <mergeCell ref="B17:N18"/>
    <mergeCell ref="B19:N20"/>
    <mergeCell ref="B21:N22"/>
    <mergeCell ref="B23:N24"/>
    <mergeCell ref="A43:A44"/>
    <mergeCell ref="A45:A46"/>
    <mergeCell ref="A49:A50"/>
    <mergeCell ref="B49:N50"/>
    <mergeCell ref="A39:A40"/>
    <mergeCell ref="B39:N40"/>
    <mergeCell ref="A41:A42"/>
    <mergeCell ref="B41:N42"/>
    <mergeCell ref="B43:N44"/>
    <mergeCell ref="A67:A68"/>
    <mergeCell ref="B67:N68"/>
    <mergeCell ref="B45:N46"/>
    <mergeCell ref="A47:O48"/>
    <mergeCell ref="A51:A52"/>
    <mergeCell ref="B51:N52"/>
    <mergeCell ref="A53:A54"/>
    <mergeCell ref="B53:N54"/>
    <mergeCell ref="A61:A62"/>
    <mergeCell ref="B61:N62"/>
    <mergeCell ref="A63:A64"/>
    <mergeCell ref="B63:N64"/>
    <mergeCell ref="A65:A66"/>
    <mergeCell ref="B65:N66"/>
    <mergeCell ref="A55:A56"/>
    <mergeCell ref="B55:N56"/>
  </mergeCells>
  <pageMargins left="0.51181102362204722" right="0.51181102362204722" top="0.78740157480314965" bottom="0.78740157480314965" header="0.31496062992125984" footer="0.31496062992125984"/>
  <pageSetup paperSize="9" scale="75" fitToHeight="0" orientation="portrait" r:id="rId1"/>
  <rowBreaks count="1" manualBreakCount="1">
    <brk id="85" max="14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>
    <pageSetUpPr fitToPage="1"/>
  </sheetPr>
  <dimension ref="A1:BH55"/>
  <sheetViews>
    <sheetView showGridLines="0" tabSelected="1" view="pageBreakPreview" zoomScale="115" zoomScaleNormal="70" zoomScaleSheetLayoutView="115" zoomScalePageLayoutView="85" workbookViewId="0">
      <selection activeCell="O3" sqref="O3:AZ4"/>
    </sheetView>
  </sheetViews>
  <sheetFormatPr defaultColWidth="9.109375" defaultRowHeight="10.199999999999999" x14ac:dyDescent="0.25"/>
  <cols>
    <col min="1" max="2" width="2.6640625" style="9" customWidth="1"/>
    <col min="3" max="12" width="2" style="9" customWidth="1"/>
    <col min="13" max="13" width="2.44140625" style="9" customWidth="1"/>
    <col min="14" max="16" width="2" style="9" customWidth="1"/>
    <col min="17" max="17" width="2.5546875" style="9" customWidth="1"/>
    <col min="18" max="18" width="3.109375" style="9" customWidth="1"/>
    <col min="19" max="19" width="4.109375" style="9" customWidth="1"/>
    <col min="20" max="52" width="2" style="9" customWidth="1"/>
    <col min="53" max="16384" width="9.109375" style="9"/>
  </cols>
  <sheetData>
    <row r="1" spans="1:60" ht="20.100000000000001" customHeight="1" x14ac:dyDescent="0.25">
      <c r="A1" s="120" t="e" vm="1">
        <f t="shared" ref="A1" si="0">_xlfn.IMAGE("https://technikgrupo.sharepoint.com/sites/transfer/Logos/Technik.png")</f>
        <v>#VALUE!</v>
      </c>
      <c r="B1" s="203"/>
      <c r="C1" s="203"/>
      <c r="D1" s="203"/>
      <c r="E1" s="203"/>
      <c r="F1" s="203"/>
      <c r="G1" s="203"/>
      <c r="H1" s="203"/>
      <c r="I1" s="203"/>
      <c r="J1" s="121"/>
      <c r="K1" s="221" t="s">
        <v>0</v>
      </c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3"/>
      <c r="Y1" s="224" t="s">
        <v>5</v>
      </c>
      <c r="Z1" s="225"/>
      <c r="AA1" s="102" t="str">
        <f>"FD-"&amp;Config!D2&amp;"-"&amp;Config!F2&amp;"-001"</f>
        <v>FD---001</v>
      </c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3"/>
    </row>
    <row r="2" spans="1:60" ht="20.100000000000001" customHeight="1" x14ac:dyDescent="0.25">
      <c r="A2" s="130"/>
      <c r="B2" s="131"/>
      <c r="C2" s="131"/>
      <c r="D2" s="131"/>
      <c r="E2" s="131"/>
      <c r="F2" s="131"/>
      <c r="G2" s="131"/>
      <c r="H2" s="131"/>
      <c r="I2" s="131"/>
      <c r="J2" s="132"/>
      <c r="K2" s="224" t="s">
        <v>6</v>
      </c>
      <c r="L2" s="225"/>
      <c r="M2" s="225"/>
      <c r="N2" s="225"/>
      <c r="O2" s="102" t="s">
        <v>148</v>
      </c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3"/>
    </row>
    <row r="3" spans="1:60" ht="20.100000000000001" customHeight="1" x14ac:dyDescent="0.25">
      <c r="A3" s="130"/>
      <c r="B3" s="131"/>
      <c r="C3" s="131"/>
      <c r="D3" s="131"/>
      <c r="E3" s="131"/>
      <c r="F3" s="131"/>
      <c r="G3" s="131"/>
      <c r="H3" s="131"/>
      <c r="I3" s="131"/>
      <c r="J3" s="132"/>
      <c r="K3" s="207" t="s">
        <v>7</v>
      </c>
      <c r="L3" s="208"/>
      <c r="M3" s="208"/>
      <c r="N3" s="208"/>
      <c r="O3" s="211" t="s">
        <v>136</v>
      </c>
      <c r="P3" s="212"/>
      <c r="Q3" s="212"/>
      <c r="R3" s="212"/>
      <c r="S3" s="212"/>
      <c r="T3" s="212"/>
      <c r="U3" s="212"/>
      <c r="V3" s="212"/>
      <c r="W3" s="212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212"/>
      <c r="AJ3" s="212"/>
      <c r="AK3" s="212"/>
      <c r="AL3" s="212"/>
      <c r="AM3" s="212"/>
      <c r="AN3" s="212"/>
      <c r="AO3" s="212"/>
      <c r="AP3" s="212"/>
      <c r="AQ3" s="212"/>
      <c r="AR3" s="212"/>
      <c r="AS3" s="212"/>
      <c r="AT3" s="212"/>
      <c r="AU3" s="212"/>
      <c r="AV3" s="212"/>
      <c r="AW3" s="212"/>
      <c r="AX3" s="212"/>
      <c r="AY3" s="212"/>
      <c r="AZ3" s="213"/>
    </row>
    <row r="4" spans="1:60" ht="20.100000000000001" customHeight="1" thickBot="1" x14ac:dyDescent="0.3">
      <c r="A4" s="130"/>
      <c r="B4" s="131"/>
      <c r="C4" s="131"/>
      <c r="D4" s="131"/>
      <c r="E4" s="131"/>
      <c r="F4" s="131"/>
      <c r="G4" s="131"/>
      <c r="H4" s="131"/>
      <c r="I4" s="131"/>
      <c r="J4" s="132"/>
      <c r="K4" s="209"/>
      <c r="L4" s="210"/>
      <c r="M4" s="210"/>
      <c r="N4" s="210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5"/>
      <c r="BC4"/>
      <c r="BD4"/>
      <c r="BE4"/>
      <c r="BF4"/>
      <c r="BG4"/>
      <c r="BH4"/>
    </row>
    <row r="5" spans="1:60" ht="15" customHeight="1" thickBot="1" x14ac:dyDescent="0.3">
      <c r="A5" s="216" t="s">
        <v>137</v>
      </c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/>
      <c r="AC5" s="217"/>
      <c r="AD5" s="217"/>
      <c r="AE5" s="218"/>
      <c r="AF5" s="216" t="s">
        <v>8</v>
      </c>
      <c r="AG5" s="217"/>
      <c r="AH5" s="217"/>
      <c r="AI5" s="217"/>
      <c r="AJ5" s="217"/>
      <c r="AK5" s="217"/>
      <c r="AL5" s="217"/>
      <c r="AM5" s="217"/>
      <c r="AN5" s="217"/>
      <c r="AO5" s="217"/>
      <c r="AP5" s="217"/>
      <c r="AQ5" s="217"/>
      <c r="AR5" s="217"/>
      <c r="AS5" s="217"/>
      <c r="AT5" s="217"/>
      <c r="AU5" s="217"/>
      <c r="AV5" s="217"/>
      <c r="AW5" s="217"/>
      <c r="AX5" s="217"/>
      <c r="AY5" s="217"/>
      <c r="AZ5" s="218"/>
      <c r="BC5"/>
      <c r="BD5"/>
      <c r="BE5"/>
      <c r="BF5"/>
      <c r="BG5"/>
      <c r="BH5"/>
    </row>
    <row r="6" spans="1:60" ht="14.55" customHeight="1" x14ac:dyDescent="0.25">
      <c r="A6" s="219" t="s">
        <v>9</v>
      </c>
      <c r="B6" s="220"/>
      <c r="C6" s="226" t="s">
        <v>10</v>
      </c>
      <c r="D6" s="227"/>
      <c r="E6" s="191" t="s">
        <v>11</v>
      </c>
      <c r="F6" s="19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3"/>
      <c r="AB6" s="219" t="s">
        <v>9</v>
      </c>
      <c r="AC6" s="220"/>
      <c r="AD6" s="191" t="s">
        <v>11</v>
      </c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192"/>
      <c r="AQ6" s="192"/>
      <c r="AR6" s="192"/>
      <c r="AS6" s="192"/>
      <c r="AT6" s="192"/>
      <c r="AU6" s="192"/>
      <c r="AV6" s="192"/>
      <c r="AW6" s="192"/>
      <c r="AX6" s="192"/>
      <c r="AY6" s="192"/>
      <c r="AZ6" s="193"/>
      <c r="BC6"/>
      <c r="BD6"/>
      <c r="BE6"/>
      <c r="BF6"/>
      <c r="BG6"/>
      <c r="BH6"/>
    </row>
    <row r="7" spans="1:60" ht="14.55" customHeight="1" x14ac:dyDescent="0.25">
      <c r="A7" s="144">
        <v>1</v>
      </c>
      <c r="B7" s="145"/>
      <c r="C7" s="159"/>
      <c r="D7" s="160"/>
      <c r="E7" s="113"/>
      <c r="F7" s="114"/>
      <c r="G7" s="114"/>
      <c r="H7" s="114"/>
      <c r="I7" s="114"/>
      <c r="J7" s="114"/>
      <c r="K7" s="114"/>
      <c r="L7" s="114"/>
      <c r="M7" s="114"/>
      <c r="N7" s="144"/>
      <c r="O7" s="145"/>
      <c r="P7" s="113"/>
      <c r="Q7" s="114"/>
      <c r="R7" s="114"/>
      <c r="S7" s="114"/>
      <c r="T7" s="114"/>
      <c r="U7" s="144"/>
      <c r="V7" s="145"/>
      <c r="W7" s="144"/>
      <c r="X7" s="165"/>
      <c r="Y7" s="165"/>
      <c r="Z7" s="165"/>
      <c r="AA7" s="145"/>
      <c r="AB7" s="144">
        <v>41</v>
      </c>
      <c r="AC7" s="145"/>
      <c r="AD7" s="157" t="s">
        <v>13</v>
      </c>
      <c r="AE7" s="158"/>
      <c r="AF7" s="197" t="s">
        <v>14</v>
      </c>
      <c r="AG7" s="198"/>
      <c r="AH7" s="198"/>
      <c r="AI7" s="198"/>
      <c r="AJ7" s="198"/>
      <c r="AK7" s="198"/>
      <c r="AL7" s="198"/>
      <c r="AM7" s="201" t="s">
        <v>15</v>
      </c>
      <c r="AN7" s="201"/>
      <c r="AO7" s="201"/>
      <c r="AP7" s="201"/>
      <c r="AQ7" s="201"/>
      <c r="AR7" s="201"/>
      <c r="AS7" s="201"/>
      <c r="AT7" s="201"/>
      <c r="AU7" s="201"/>
      <c r="AV7" s="201"/>
      <c r="AW7" s="201"/>
      <c r="AX7" s="201"/>
      <c r="AY7" s="201"/>
      <c r="AZ7" s="202"/>
      <c r="BC7"/>
      <c r="BD7"/>
      <c r="BE7"/>
      <c r="BF7"/>
      <c r="BG7"/>
      <c r="BH7"/>
    </row>
    <row r="8" spans="1:60" ht="14.55" customHeight="1" x14ac:dyDescent="0.25">
      <c r="A8" s="144">
        <v>2</v>
      </c>
      <c r="B8" s="145"/>
      <c r="C8" s="159"/>
      <c r="D8" s="160"/>
      <c r="E8" s="228" t="s">
        <v>16</v>
      </c>
      <c r="F8" s="229"/>
      <c r="G8" s="229"/>
      <c r="H8" s="229"/>
      <c r="I8" s="229"/>
      <c r="J8" s="229"/>
      <c r="K8" s="229"/>
      <c r="L8" s="229"/>
      <c r="M8" s="229"/>
      <c r="N8" s="203"/>
      <c r="O8" s="203"/>
      <c r="P8" s="203"/>
      <c r="Q8" s="203"/>
      <c r="R8" s="203"/>
      <c r="S8" s="203"/>
      <c r="T8" s="203"/>
      <c r="U8" s="203"/>
      <c r="V8" s="203"/>
      <c r="W8" s="203"/>
      <c r="X8" s="203"/>
      <c r="Y8" s="203"/>
      <c r="Z8" s="203"/>
      <c r="AA8" s="121"/>
      <c r="AB8" s="144">
        <v>42</v>
      </c>
      <c r="AC8" s="145"/>
      <c r="AD8" s="159"/>
      <c r="AE8" s="160"/>
      <c r="AF8" s="199" t="s">
        <v>17</v>
      </c>
      <c r="AG8" s="200"/>
      <c r="AH8" s="200"/>
      <c r="AI8" s="200"/>
      <c r="AJ8" s="200"/>
      <c r="AK8" s="200"/>
      <c r="AL8" s="200"/>
      <c r="AM8" s="200"/>
      <c r="AN8" s="200"/>
      <c r="AO8" s="200"/>
      <c r="AP8" s="200"/>
      <c r="AQ8" s="201" t="s">
        <v>15</v>
      </c>
      <c r="AR8" s="201"/>
      <c r="AS8" s="201"/>
      <c r="AT8" s="201"/>
      <c r="AU8" s="201"/>
      <c r="AV8" s="201"/>
      <c r="AW8" s="201"/>
      <c r="AX8" s="201"/>
      <c r="AY8" s="201"/>
      <c r="AZ8" s="202"/>
      <c r="BC8"/>
      <c r="BD8"/>
      <c r="BE8"/>
      <c r="BF8"/>
      <c r="BG8"/>
      <c r="BH8"/>
    </row>
    <row r="9" spans="1:60" ht="14.55" customHeight="1" x14ac:dyDescent="0.25">
      <c r="A9" s="144">
        <v>3</v>
      </c>
      <c r="B9" s="145"/>
      <c r="C9" s="159"/>
      <c r="D9" s="160"/>
      <c r="E9" s="204" t="s">
        <v>138</v>
      </c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6"/>
      <c r="AB9" s="144">
        <v>43</v>
      </c>
      <c r="AC9" s="145"/>
      <c r="AD9" s="159"/>
      <c r="AE9" s="160"/>
      <c r="AF9" s="199" t="s">
        <v>18</v>
      </c>
      <c r="AG9" s="200"/>
      <c r="AH9" s="200"/>
      <c r="AI9" s="200"/>
      <c r="AJ9" s="200"/>
      <c r="AK9" s="200"/>
      <c r="AL9" s="200"/>
      <c r="AM9" s="200"/>
      <c r="AN9" s="195" t="s">
        <v>19</v>
      </c>
      <c r="AO9" s="195"/>
      <c r="AP9" s="195"/>
      <c r="AQ9" s="195"/>
      <c r="AR9" s="201" t="s">
        <v>15</v>
      </c>
      <c r="AS9" s="201"/>
      <c r="AT9" s="201"/>
      <c r="AU9" s="201"/>
      <c r="AV9" s="201"/>
      <c r="AW9" s="201"/>
      <c r="AX9" s="201"/>
      <c r="AY9" s="201"/>
      <c r="AZ9" s="202"/>
      <c r="BC9"/>
      <c r="BD9"/>
      <c r="BE9"/>
      <c r="BF9"/>
      <c r="BG9"/>
      <c r="BH9"/>
    </row>
    <row r="10" spans="1:60" ht="14.55" customHeight="1" x14ac:dyDescent="0.25">
      <c r="A10" s="144">
        <v>4</v>
      </c>
      <c r="B10" s="145"/>
      <c r="C10" s="159"/>
      <c r="D10" s="160"/>
      <c r="E10" s="113" t="s">
        <v>139</v>
      </c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5"/>
      <c r="AB10" s="144">
        <v>44</v>
      </c>
      <c r="AC10" s="145"/>
      <c r="AD10" s="159"/>
      <c r="AE10" s="160"/>
      <c r="AF10" s="22"/>
      <c r="AG10" s="22"/>
      <c r="AH10" s="22"/>
      <c r="AI10" s="22"/>
      <c r="AJ10" s="22"/>
      <c r="AK10" s="22"/>
      <c r="AL10" s="22"/>
      <c r="AM10" s="23"/>
      <c r="AN10" s="23"/>
      <c r="AO10" s="195" t="s">
        <v>20</v>
      </c>
      <c r="AP10" s="195"/>
      <c r="AQ10" s="195"/>
      <c r="AR10" s="195"/>
      <c r="AS10" s="195"/>
      <c r="AT10" s="201" t="s">
        <v>15</v>
      </c>
      <c r="AU10" s="201"/>
      <c r="AV10" s="201"/>
      <c r="AW10" s="201"/>
      <c r="AX10" s="201"/>
      <c r="AY10" s="201"/>
      <c r="AZ10" s="202"/>
      <c r="BC10"/>
      <c r="BD10"/>
      <c r="BE10"/>
      <c r="BF10"/>
      <c r="BG10"/>
      <c r="BH10"/>
    </row>
    <row r="11" spans="1:60" ht="14.55" customHeight="1" x14ac:dyDescent="0.25">
      <c r="A11" s="144">
        <v>5</v>
      </c>
      <c r="B11" s="145"/>
      <c r="C11" s="159"/>
      <c r="D11" s="160"/>
      <c r="E11" s="113" t="s">
        <v>147</v>
      </c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5"/>
      <c r="AB11" s="144">
        <v>45</v>
      </c>
      <c r="AC11" s="145"/>
      <c r="AD11" s="159"/>
      <c r="AE11" s="160"/>
      <c r="AF11" s="194"/>
      <c r="AG11" s="195"/>
      <c r="AH11" s="195"/>
      <c r="AI11" s="195"/>
      <c r="AJ11" s="195"/>
      <c r="AK11" s="195"/>
      <c r="AL11" s="195"/>
      <c r="AM11" s="195"/>
      <c r="AN11" s="195"/>
      <c r="AO11" s="195"/>
      <c r="AP11" s="195"/>
      <c r="AQ11" s="195"/>
      <c r="AR11" s="195"/>
      <c r="AS11" s="195"/>
      <c r="AT11" s="195"/>
      <c r="AU11" s="195"/>
      <c r="AV11" s="195"/>
      <c r="AW11" s="195"/>
      <c r="AX11" s="195"/>
      <c r="AY11" s="195"/>
      <c r="AZ11" s="196"/>
      <c r="BC11"/>
      <c r="BD11"/>
      <c r="BE11"/>
      <c r="BF11"/>
      <c r="BG11"/>
      <c r="BH11"/>
    </row>
    <row r="12" spans="1:60" ht="14.55" customHeight="1" x14ac:dyDescent="0.25">
      <c r="A12" s="144">
        <v>6</v>
      </c>
      <c r="B12" s="145"/>
      <c r="C12" s="189"/>
      <c r="D12" s="190"/>
      <c r="E12" s="113" t="s">
        <v>21</v>
      </c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5"/>
      <c r="AB12" s="144">
        <v>46</v>
      </c>
      <c r="AC12" s="145"/>
      <c r="AD12" s="159"/>
      <c r="AE12" s="160"/>
      <c r="AF12" s="194"/>
      <c r="AG12" s="195"/>
      <c r="AH12" s="195"/>
      <c r="AI12" s="195"/>
      <c r="AJ12" s="195"/>
      <c r="AK12" s="195"/>
      <c r="AL12" s="195"/>
      <c r="AM12" s="195"/>
      <c r="AN12" s="195"/>
      <c r="AO12" s="195"/>
      <c r="AP12" s="195"/>
      <c r="AQ12" s="195"/>
      <c r="AR12" s="195"/>
      <c r="AS12" s="195"/>
      <c r="AT12" s="195"/>
      <c r="AU12" s="195"/>
      <c r="AV12" s="195"/>
      <c r="AW12" s="195"/>
      <c r="AX12" s="195"/>
      <c r="AY12" s="195"/>
      <c r="AZ12" s="196"/>
      <c r="BC12"/>
      <c r="BD12"/>
      <c r="BE12"/>
      <c r="BF12"/>
      <c r="BG12"/>
      <c r="BH12"/>
    </row>
    <row r="13" spans="1:60" ht="14.55" customHeight="1" x14ac:dyDescent="0.25">
      <c r="A13" s="144">
        <v>7</v>
      </c>
      <c r="B13" s="145"/>
      <c r="C13" s="161" t="s">
        <v>22</v>
      </c>
      <c r="D13" s="162"/>
      <c r="E13" s="113" t="s">
        <v>140</v>
      </c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5"/>
      <c r="AB13" s="144">
        <v>47</v>
      </c>
      <c r="AC13" s="145"/>
      <c r="AD13" s="157" t="s">
        <v>23</v>
      </c>
      <c r="AE13" s="158"/>
      <c r="AF13" s="149" t="s">
        <v>24</v>
      </c>
      <c r="AG13" s="149"/>
      <c r="AH13" s="149"/>
      <c r="AI13" s="149"/>
      <c r="AJ13" s="149"/>
      <c r="AK13" s="149" t="s">
        <v>25</v>
      </c>
      <c r="AL13" s="149"/>
      <c r="AM13" s="149"/>
      <c r="AN13" s="149"/>
      <c r="AO13" s="149"/>
      <c r="AP13" s="181" t="s">
        <v>145</v>
      </c>
      <c r="AQ13" s="181"/>
      <c r="AR13" s="181"/>
      <c r="AS13" s="181"/>
      <c r="AT13" s="181"/>
      <c r="AU13" s="181"/>
      <c r="AV13" s="181"/>
      <c r="AW13" s="181"/>
      <c r="AX13" s="181"/>
      <c r="AY13" s="181"/>
      <c r="AZ13" s="182"/>
      <c r="BC13"/>
      <c r="BD13"/>
      <c r="BE13"/>
      <c r="BF13"/>
      <c r="BG13"/>
      <c r="BH13"/>
    </row>
    <row r="14" spans="1:60" ht="14.55" customHeight="1" x14ac:dyDescent="0.25">
      <c r="A14" s="144">
        <v>8</v>
      </c>
      <c r="B14" s="145"/>
      <c r="C14" s="163"/>
      <c r="D14" s="164"/>
      <c r="E14" s="187" t="s">
        <v>141</v>
      </c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18" t="s">
        <v>26</v>
      </c>
      <c r="Q14" s="119"/>
      <c r="R14" s="26" t="s">
        <v>27</v>
      </c>
      <c r="S14" s="11"/>
      <c r="T14" s="11"/>
      <c r="U14" s="11"/>
      <c r="V14" s="118">
        <v>2.2000000000000002</v>
      </c>
      <c r="W14" s="118"/>
      <c r="X14" s="118"/>
      <c r="Y14" s="118" t="s">
        <v>28</v>
      </c>
      <c r="Z14" s="118"/>
      <c r="AA14" s="119"/>
      <c r="AB14" s="144">
        <v>48</v>
      </c>
      <c r="AC14" s="145"/>
      <c r="AD14" s="159"/>
      <c r="AE14" s="160"/>
      <c r="AF14" s="24"/>
      <c r="AG14" s="24"/>
      <c r="AH14" s="24"/>
      <c r="AI14" s="24"/>
      <c r="AJ14" s="24"/>
      <c r="AK14" s="149" t="s">
        <v>29</v>
      </c>
      <c r="AL14" s="149"/>
      <c r="AM14" s="149"/>
      <c r="AN14" s="149"/>
      <c r="AO14" s="149"/>
      <c r="AP14" s="181" t="s">
        <v>145</v>
      </c>
      <c r="AQ14" s="181"/>
      <c r="AR14" s="181"/>
      <c r="AS14" s="181"/>
      <c r="AT14" s="181"/>
      <c r="AU14" s="181"/>
      <c r="AV14" s="181"/>
      <c r="AW14" s="181"/>
      <c r="AX14" s="181"/>
      <c r="AY14" s="181"/>
      <c r="AZ14" s="182"/>
      <c r="BC14"/>
      <c r="BD14"/>
      <c r="BE14"/>
      <c r="BF14" s="29"/>
      <c r="BG14" s="29"/>
      <c r="BH14" s="29"/>
    </row>
    <row r="15" spans="1:60" ht="14.55" customHeight="1" x14ac:dyDescent="0.25">
      <c r="A15" s="144">
        <v>9</v>
      </c>
      <c r="B15" s="145"/>
      <c r="C15" s="163"/>
      <c r="D15" s="164"/>
      <c r="E15" s="113" t="s">
        <v>30</v>
      </c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65"/>
      <c r="S15" s="165"/>
      <c r="T15" s="165"/>
      <c r="U15" s="165"/>
      <c r="V15" s="165"/>
      <c r="W15" s="165" t="s">
        <v>31</v>
      </c>
      <c r="X15" s="165"/>
      <c r="Y15" s="165"/>
      <c r="Z15" s="165"/>
      <c r="AA15" s="145"/>
      <c r="AB15" s="144">
        <v>49</v>
      </c>
      <c r="AC15" s="145"/>
      <c r="AD15" s="159"/>
      <c r="AE15" s="160"/>
      <c r="AF15" s="118"/>
      <c r="AG15" s="118"/>
      <c r="AH15" s="118"/>
      <c r="AI15" s="118"/>
      <c r="AJ15" s="118"/>
      <c r="AK15" s="149" t="s">
        <v>32</v>
      </c>
      <c r="AL15" s="149"/>
      <c r="AM15" s="149"/>
      <c r="AN15" s="149"/>
      <c r="AO15" s="149"/>
      <c r="AP15" s="181" t="s">
        <v>145</v>
      </c>
      <c r="AQ15" s="181"/>
      <c r="AR15" s="181"/>
      <c r="AS15" s="181"/>
      <c r="AT15" s="181"/>
      <c r="AU15" s="181"/>
      <c r="AV15" s="181"/>
      <c r="AW15" s="181"/>
      <c r="AX15" s="181"/>
      <c r="AY15" s="181"/>
      <c r="AZ15" s="182"/>
      <c r="BC15"/>
      <c r="BD15"/>
      <c r="BE15"/>
      <c r="BF15" s="29"/>
      <c r="BG15" s="29"/>
      <c r="BH15" s="29"/>
    </row>
    <row r="16" spans="1:60" ht="14.55" customHeight="1" x14ac:dyDescent="0.25">
      <c r="A16" s="144">
        <v>10</v>
      </c>
      <c r="B16" s="145"/>
      <c r="C16" s="163"/>
      <c r="D16" s="164"/>
      <c r="E16" s="148" t="s">
        <v>33</v>
      </c>
      <c r="F16" s="149"/>
      <c r="G16" s="149"/>
      <c r="H16" s="149"/>
      <c r="I16" s="149"/>
      <c r="J16" s="149"/>
      <c r="K16" s="149"/>
      <c r="L16" s="149"/>
      <c r="M16" s="149"/>
      <c r="N16" s="181">
        <v>44</v>
      </c>
      <c r="O16" s="181"/>
      <c r="P16" s="181"/>
      <c r="Q16" s="181"/>
      <c r="R16" s="181"/>
      <c r="S16" s="181"/>
      <c r="T16" s="181"/>
      <c r="U16" s="14"/>
      <c r="V16" s="14"/>
      <c r="W16" s="165" t="s">
        <v>34</v>
      </c>
      <c r="X16" s="165"/>
      <c r="Y16" s="165"/>
      <c r="Z16" s="165"/>
      <c r="AA16" s="145"/>
      <c r="AB16" s="144">
        <v>50</v>
      </c>
      <c r="AC16" s="145"/>
      <c r="AD16" s="159"/>
      <c r="AE16" s="160"/>
      <c r="AF16" s="149" t="s">
        <v>35</v>
      </c>
      <c r="AG16" s="149"/>
      <c r="AH16" s="149"/>
      <c r="AI16" s="149"/>
      <c r="AJ16" s="149"/>
      <c r="AK16" s="149" t="s">
        <v>36</v>
      </c>
      <c r="AL16" s="149"/>
      <c r="AM16" s="149"/>
      <c r="AN16" s="149"/>
      <c r="AO16" s="149"/>
      <c r="AP16" s="181" t="s">
        <v>145</v>
      </c>
      <c r="AQ16" s="181"/>
      <c r="AR16" s="181"/>
      <c r="AS16" s="181"/>
      <c r="AT16" s="181"/>
      <c r="AU16" s="181"/>
      <c r="AV16" s="181"/>
      <c r="AW16" s="181"/>
      <c r="AX16" s="181"/>
      <c r="AY16" s="181"/>
      <c r="AZ16" s="182"/>
      <c r="BC16"/>
      <c r="BD16"/>
      <c r="BE16"/>
      <c r="BF16" s="29"/>
      <c r="BG16" s="29"/>
      <c r="BH16" s="29"/>
    </row>
    <row r="17" spans="1:60" ht="14.55" customHeight="1" x14ac:dyDescent="0.25">
      <c r="A17" s="144">
        <v>11</v>
      </c>
      <c r="B17" s="145"/>
      <c r="C17" s="185"/>
      <c r="D17" s="186"/>
      <c r="E17" s="148" t="s">
        <v>37</v>
      </c>
      <c r="F17" s="149"/>
      <c r="G17" s="149"/>
      <c r="H17" s="149"/>
      <c r="I17" s="149"/>
      <c r="J17" s="149"/>
      <c r="K17" s="149"/>
      <c r="L17" s="181" t="s">
        <v>142</v>
      </c>
      <c r="M17" s="181"/>
      <c r="N17" s="181"/>
      <c r="O17" s="182"/>
      <c r="P17" s="117" t="s">
        <v>38</v>
      </c>
      <c r="Q17" s="118"/>
      <c r="R17" s="118"/>
      <c r="S17" s="118"/>
      <c r="T17" s="184" t="s">
        <v>39</v>
      </c>
      <c r="U17" s="184"/>
      <c r="V17" s="184"/>
      <c r="W17" s="184"/>
      <c r="X17" s="118"/>
      <c r="Y17" s="118"/>
      <c r="Z17" s="118"/>
      <c r="AA17" s="119"/>
      <c r="AB17" s="144">
        <v>51</v>
      </c>
      <c r="AC17" s="145"/>
      <c r="AD17" s="159"/>
      <c r="AE17" s="160"/>
      <c r="AF17" s="149" t="s">
        <v>40</v>
      </c>
      <c r="AG17" s="149"/>
      <c r="AH17" s="149"/>
      <c r="AI17" s="149"/>
      <c r="AJ17" s="149"/>
      <c r="AK17" s="149"/>
      <c r="AL17" s="149"/>
      <c r="AM17" s="149"/>
      <c r="AN17" s="149"/>
      <c r="AO17" s="149"/>
      <c r="AP17" s="181" t="s">
        <v>145</v>
      </c>
      <c r="AQ17" s="181"/>
      <c r="AR17" s="181"/>
      <c r="AS17" s="181"/>
      <c r="AT17" s="181"/>
      <c r="AU17" s="181"/>
      <c r="AV17" s="181"/>
      <c r="AW17" s="181"/>
      <c r="AX17" s="181"/>
      <c r="AY17" s="181"/>
      <c r="AZ17" s="182"/>
      <c r="BC17"/>
      <c r="BD17"/>
      <c r="BE17"/>
      <c r="BF17" s="29"/>
      <c r="BG17" s="29"/>
      <c r="BH17" s="29"/>
    </row>
    <row r="18" spans="1:60" ht="14.55" customHeight="1" x14ac:dyDescent="0.25">
      <c r="A18" s="144">
        <v>12</v>
      </c>
      <c r="B18" s="145"/>
      <c r="C18" s="161" t="s">
        <v>3</v>
      </c>
      <c r="D18" s="162"/>
      <c r="E18" s="148" t="s">
        <v>143</v>
      </c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56"/>
      <c r="AB18" s="144">
        <v>52</v>
      </c>
      <c r="AC18" s="145"/>
      <c r="AD18" s="159"/>
      <c r="AE18" s="160"/>
      <c r="AF18" s="149" t="s">
        <v>41</v>
      </c>
      <c r="AG18" s="149"/>
      <c r="AH18" s="149"/>
      <c r="AI18" s="149"/>
      <c r="AJ18" s="149"/>
      <c r="AK18" s="149"/>
      <c r="AL18" s="149"/>
      <c r="AM18" s="149"/>
      <c r="AN18" s="149"/>
      <c r="AO18" s="149"/>
      <c r="AP18" s="181" t="s">
        <v>145</v>
      </c>
      <c r="AQ18" s="181"/>
      <c r="AR18" s="181"/>
      <c r="AS18" s="181"/>
      <c r="AT18" s="181"/>
      <c r="AU18" s="181"/>
      <c r="AV18" s="181"/>
      <c r="AW18" s="181"/>
      <c r="AX18" s="181"/>
      <c r="AY18" s="181"/>
      <c r="AZ18" s="182"/>
      <c r="BC18"/>
      <c r="BD18"/>
      <c r="BE18"/>
      <c r="BF18" s="29"/>
      <c r="BG18" s="29"/>
      <c r="BH18" s="29"/>
    </row>
    <row r="19" spans="1:60" ht="14.55" customHeight="1" x14ac:dyDescent="0.25">
      <c r="A19" s="144">
        <v>13</v>
      </c>
      <c r="B19" s="145"/>
      <c r="C19" s="163"/>
      <c r="D19" s="164"/>
      <c r="E19" s="148" t="s">
        <v>42</v>
      </c>
      <c r="F19" s="149"/>
      <c r="G19" s="149"/>
      <c r="H19" s="149"/>
      <c r="I19" s="149"/>
      <c r="J19" s="149"/>
      <c r="K19" s="149"/>
      <c r="L19" s="149"/>
      <c r="M19" s="149"/>
      <c r="N19" s="149"/>
      <c r="O19" s="149"/>
      <c r="P19" s="149"/>
      <c r="Q19" s="149"/>
      <c r="R19" s="149"/>
      <c r="S19" s="149"/>
      <c r="T19" s="149"/>
      <c r="U19" s="149"/>
      <c r="V19" s="149"/>
      <c r="W19" s="149"/>
      <c r="X19" s="118" t="s">
        <v>34</v>
      </c>
      <c r="Y19" s="118"/>
      <c r="Z19" s="118"/>
      <c r="AA19" s="119"/>
      <c r="AB19" s="144">
        <v>53</v>
      </c>
      <c r="AC19" s="145"/>
      <c r="AD19" s="159"/>
      <c r="AE19" s="160"/>
      <c r="AF19" s="149" t="s">
        <v>43</v>
      </c>
      <c r="AG19" s="149"/>
      <c r="AH19" s="149"/>
      <c r="AI19" s="149"/>
      <c r="AJ19" s="149"/>
      <c r="AK19" s="149"/>
      <c r="AL19" s="149"/>
      <c r="AM19" s="149"/>
      <c r="AN19" s="149"/>
      <c r="AO19" s="149"/>
      <c r="AP19" s="181" t="s">
        <v>145</v>
      </c>
      <c r="AQ19" s="181"/>
      <c r="AR19" s="181"/>
      <c r="AS19" s="181"/>
      <c r="AT19" s="181"/>
      <c r="AU19" s="181"/>
      <c r="AV19" s="181"/>
      <c r="AW19" s="181"/>
      <c r="AX19" s="181"/>
      <c r="AY19" s="181"/>
      <c r="AZ19" s="182"/>
      <c r="BC19"/>
      <c r="BD19"/>
      <c r="BE19"/>
      <c r="BF19" s="29"/>
      <c r="BG19" s="29"/>
      <c r="BH19" s="29"/>
    </row>
    <row r="20" spans="1:60" ht="14.55" customHeight="1" x14ac:dyDescent="0.25">
      <c r="A20" s="144">
        <v>14</v>
      </c>
      <c r="B20" s="145"/>
      <c r="C20" s="163"/>
      <c r="D20" s="164"/>
      <c r="E20" s="148" t="s">
        <v>44</v>
      </c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49"/>
      <c r="V20" s="149"/>
      <c r="W20" s="149"/>
      <c r="X20" s="118" t="s">
        <v>34</v>
      </c>
      <c r="Y20" s="118"/>
      <c r="Z20" s="118"/>
      <c r="AA20" s="119"/>
      <c r="AB20" s="144">
        <v>54</v>
      </c>
      <c r="AC20" s="145"/>
      <c r="AD20" s="159"/>
      <c r="AE20" s="160"/>
      <c r="AF20" s="149" t="s">
        <v>45</v>
      </c>
      <c r="AG20" s="149"/>
      <c r="AH20" s="149"/>
      <c r="AI20" s="149"/>
      <c r="AJ20" s="149"/>
      <c r="AK20" s="149"/>
      <c r="AL20" s="149"/>
      <c r="AM20" s="149"/>
      <c r="AN20" s="149"/>
      <c r="AO20" s="149"/>
      <c r="AP20" s="166" t="s">
        <v>15</v>
      </c>
      <c r="AQ20" s="166"/>
      <c r="AR20" s="166"/>
      <c r="AS20" s="166"/>
      <c r="AT20" s="166"/>
      <c r="AU20" s="166"/>
      <c r="AV20" s="166"/>
      <c r="AW20" s="166"/>
      <c r="AX20" s="166"/>
      <c r="AY20" s="166"/>
      <c r="AZ20" s="167"/>
      <c r="BC20"/>
      <c r="BD20"/>
      <c r="BE20"/>
      <c r="BF20" s="29"/>
      <c r="BG20" s="29"/>
      <c r="BH20" s="29"/>
    </row>
    <row r="21" spans="1:60" ht="14.55" customHeight="1" x14ac:dyDescent="0.25">
      <c r="A21" s="144">
        <v>15</v>
      </c>
      <c r="B21" s="145"/>
      <c r="C21" s="163"/>
      <c r="D21" s="164"/>
      <c r="E21" s="172" t="s">
        <v>46</v>
      </c>
      <c r="F21" s="154"/>
      <c r="G21" s="154"/>
      <c r="H21" s="154"/>
      <c r="I21" s="154"/>
      <c r="J21" s="154"/>
      <c r="K21" s="154"/>
      <c r="L21" s="154" t="s">
        <v>144</v>
      </c>
      <c r="M21" s="154"/>
      <c r="N21" s="154"/>
      <c r="O21" s="154"/>
      <c r="P21" s="154"/>
      <c r="Q21" s="154" t="s">
        <v>47</v>
      </c>
      <c r="R21" s="154"/>
      <c r="S21" s="154"/>
      <c r="T21" s="154"/>
      <c r="U21" s="154"/>
      <c r="V21" s="153" t="s">
        <v>15</v>
      </c>
      <c r="W21" s="153"/>
      <c r="X21" s="153"/>
      <c r="Y21" s="154"/>
      <c r="Z21" s="154"/>
      <c r="AA21" s="155"/>
      <c r="AB21" s="144">
        <v>55</v>
      </c>
      <c r="AC21" s="145"/>
      <c r="AD21" s="159"/>
      <c r="AE21" s="160"/>
      <c r="AF21" s="149" t="s">
        <v>48</v>
      </c>
      <c r="AG21" s="149"/>
      <c r="AH21" s="149"/>
      <c r="AI21" s="149"/>
      <c r="AJ21" s="149"/>
      <c r="AK21" s="149"/>
      <c r="AL21" s="149"/>
      <c r="AM21" s="149"/>
      <c r="AN21" s="149"/>
      <c r="AO21" s="149"/>
      <c r="AP21" s="181" t="s">
        <v>145</v>
      </c>
      <c r="AQ21" s="181"/>
      <c r="AR21" s="181"/>
      <c r="AS21" s="181"/>
      <c r="AT21" s="181"/>
      <c r="AU21" s="181"/>
      <c r="AV21" s="181"/>
      <c r="AW21" s="181"/>
      <c r="AX21" s="181"/>
      <c r="AY21" s="181"/>
      <c r="AZ21" s="182"/>
      <c r="BC21"/>
      <c r="BD21"/>
      <c r="BE21"/>
      <c r="BF21" s="29"/>
      <c r="BG21" s="29"/>
      <c r="BH21" s="29"/>
    </row>
    <row r="22" spans="1:60" ht="14.55" customHeight="1" x14ac:dyDescent="0.25">
      <c r="A22" s="144">
        <v>16</v>
      </c>
      <c r="B22" s="145"/>
      <c r="C22" s="163"/>
      <c r="D22" s="164"/>
      <c r="E22" s="177" t="s">
        <v>49</v>
      </c>
      <c r="F22" s="178"/>
      <c r="G22" s="178"/>
      <c r="H22" s="178"/>
      <c r="I22" s="178"/>
      <c r="J22" s="178"/>
      <c r="K22" s="178"/>
      <c r="L22" s="178"/>
      <c r="M22" s="178"/>
      <c r="N22" s="178"/>
      <c r="O22" s="170" t="s">
        <v>50</v>
      </c>
      <c r="P22" s="170"/>
      <c r="Q22" s="170"/>
      <c r="R22" s="170"/>
      <c r="S22" s="10">
        <v>50</v>
      </c>
      <c r="T22" s="28"/>
      <c r="U22" s="28"/>
      <c r="V22" s="28"/>
      <c r="W22" s="27"/>
      <c r="X22" s="166" t="s">
        <v>51</v>
      </c>
      <c r="Y22" s="166"/>
      <c r="Z22" s="166"/>
      <c r="AA22" s="167"/>
      <c r="AB22" s="144">
        <v>56</v>
      </c>
      <c r="AC22" s="145"/>
      <c r="AD22" s="159"/>
      <c r="AE22" s="160"/>
      <c r="AF22" s="149" t="s">
        <v>52</v>
      </c>
      <c r="AG22" s="149"/>
      <c r="AH22" s="149"/>
      <c r="AI22" s="149"/>
      <c r="AJ22" s="149"/>
      <c r="AK22" s="149"/>
      <c r="AL22" s="149"/>
      <c r="AM22" s="149"/>
      <c r="AN22" s="149"/>
      <c r="AO22" s="149"/>
      <c r="AP22" s="168" t="s">
        <v>15</v>
      </c>
      <c r="AQ22" s="168"/>
      <c r="AR22" s="168"/>
      <c r="AS22" s="168"/>
      <c r="AT22" s="168"/>
      <c r="AU22" s="168"/>
      <c r="AV22" s="168"/>
      <c r="AW22" s="168"/>
      <c r="AX22" s="168"/>
      <c r="AY22" s="168"/>
      <c r="AZ22" s="169"/>
      <c r="BC22"/>
      <c r="BD22"/>
      <c r="BE22" s="29"/>
      <c r="BF22" s="29"/>
      <c r="BG22" s="29"/>
      <c r="BH22" s="29"/>
    </row>
    <row r="23" spans="1:60" ht="14.55" customHeight="1" x14ac:dyDescent="0.25">
      <c r="A23" s="144">
        <v>17</v>
      </c>
      <c r="B23" s="145"/>
      <c r="C23" s="163"/>
      <c r="D23" s="164"/>
      <c r="E23" s="179"/>
      <c r="F23" s="180"/>
      <c r="G23" s="180"/>
      <c r="H23" s="180"/>
      <c r="I23" s="180"/>
      <c r="J23" s="180"/>
      <c r="K23" s="180"/>
      <c r="L23" s="180"/>
      <c r="M23" s="180"/>
      <c r="N23" s="180"/>
      <c r="O23" s="170" t="s">
        <v>53</v>
      </c>
      <c r="P23" s="170"/>
      <c r="Q23" s="170"/>
      <c r="R23" s="108">
        <v>20</v>
      </c>
      <c r="S23" s="108"/>
      <c r="T23" s="108"/>
      <c r="U23" s="108"/>
      <c r="V23" s="108"/>
      <c r="W23" s="108"/>
      <c r="X23" s="166" t="s">
        <v>51</v>
      </c>
      <c r="Y23" s="166"/>
      <c r="Z23" s="166"/>
      <c r="AA23" s="167"/>
      <c r="AB23" s="144">
        <v>57</v>
      </c>
      <c r="AC23" s="145"/>
      <c r="AD23" s="159"/>
      <c r="AE23" s="160"/>
      <c r="AF23" s="148" t="s">
        <v>54</v>
      </c>
      <c r="AG23" s="149"/>
      <c r="AH23" s="149"/>
      <c r="AI23" s="149"/>
      <c r="AJ23" s="149"/>
      <c r="AK23" s="149"/>
      <c r="AL23" s="149"/>
      <c r="AM23" s="149"/>
      <c r="AN23" s="149"/>
      <c r="AO23" s="149"/>
      <c r="AP23" s="149"/>
      <c r="AQ23" s="149"/>
      <c r="AR23" s="118" t="s">
        <v>15</v>
      </c>
      <c r="AS23" s="118"/>
      <c r="AT23" s="118"/>
      <c r="AU23" s="118"/>
      <c r="AV23" s="118"/>
      <c r="AW23" s="118"/>
      <c r="AX23" s="118"/>
      <c r="AY23" s="118"/>
      <c r="AZ23" s="119"/>
    </row>
    <row r="24" spans="1:60" ht="14.55" customHeight="1" x14ac:dyDescent="0.25">
      <c r="A24" s="144">
        <v>18</v>
      </c>
      <c r="B24" s="145"/>
      <c r="C24" s="163"/>
      <c r="D24" s="164"/>
      <c r="E24" s="173" t="s">
        <v>150</v>
      </c>
      <c r="F24" s="174"/>
      <c r="G24" s="174"/>
      <c r="H24" s="174"/>
      <c r="I24" s="174"/>
      <c r="J24" s="174"/>
      <c r="K24" s="174"/>
      <c r="L24" s="174"/>
      <c r="M24" s="174"/>
      <c r="N24" s="108" t="s">
        <v>38</v>
      </c>
      <c r="O24" s="108"/>
      <c r="P24" s="108"/>
      <c r="Q24" s="108"/>
      <c r="R24" s="108"/>
      <c r="S24" s="183">
        <v>3.63</v>
      </c>
      <c r="T24" s="183"/>
      <c r="U24" s="183"/>
      <c r="V24" s="183"/>
      <c r="W24" s="183"/>
      <c r="X24" s="118" t="s">
        <v>149</v>
      </c>
      <c r="Y24" s="118"/>
      <c r="Z24" s="118"/>
      <c r="AA24" s="119"/>
      <c r="AB24" s="144">
        <v>58</v>
      </c>
      <c r="AC24" s="145"/>
      <c r="AD24" s="159"/>
      <c r="AE24" s="160"/>
      <c r="AF24" s="148" t="s">
        <v>56</v>
      </c>
      <c r="AG24" s="149"/>
      <c r="AH24" s="149"/>
      <c r="AI24" s="149"/>
      <c r="AJ24" s="149"/>
      <c r="AK24" s="149"/>
      <c r="AL24" s="149"/>
      <c r="AM24" s="118" t="s">
        <v>145</v>
      </c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9"/>
    </row>
    <row r="25" spans="1:60" ht="14.55" customHeight="1" x14ac:dyDescent="0.25">
      <c r="A25" s="144">
        <v>19</v>
      </c>
      <c r="B25" s="145"/>
      <c r="C25" s="163"/>
      <c r="D25" s="164"/>
      <c r="E25" s="175"/>
      <c r="F25" s="176"/>
      <c r="G25" s="176"/>
      <c r="H25" s="176"/>
      <c r="I25" s="176"/>
      <c r="J25" s="176"/>
      <c r="K25" s="176"/>
      <c r="L25" s="176"/>
      <c r="M25" s="176"/>
      <c r="N25" s="108" t="s">
        <v>57</v>
      </c>
      <c r="O25" s="108"/>
      <c r="P25" s="108"/>
      <c r="Q25" s="108"/>
      <c r="R25" s="108"/>
      <c r="S25" s="146">
        <v>-2.5</v>
      </c>
      <c r="T25" s="146"/>
      <c r="U25" s="146"/>
      <c r="V25" s="146"/>
      <c r="W25" s="146"/>
      <c r="X25" s="118" t="s">
        <v>149</v>
      </c>
      <c r="Y25" s="118"/>
      <c r="Z25" s="118"/>
      <c r="AA25" s="119"/>
      <c r="AB25" s="144">
        <v>59</v>
      </c>
      <c r="AC25" s="145"/>
      <c r="AD25" s="189"/>
      <c r="AE25" s="190"/>
      <c r="AF25" s="148" t="s">
        <v>58</v>
      </c>
      <c r="AG25" s="149"/>
      <c r="AH25" s="149"/>
      <c r="AI25" s="149"/>
      <c r="AJ25" s="149"/>
      <c r="AK25" s="149"/>
      <c r="AL25" s="149"/>
      <c r="AM25" s="118" t="s">
        <v>146</v>
      </c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9"/>
      <c r="BA25" s="21"/>
    </row>
    <row r="26" spans="1:60" ht="14.55" customHeight="1" x14ac:dyDescent="0.25">
      <c r="A26" s="144">
        <v>20</v>
      </c>
      <c r="B26" s="145"/>
      <c r="C26" s="163"/>
      <c r="D26" s="164"/>
      <c r="E26" s="113" t="s">
        <v>59</v>
      </c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6" t="s">
        <v>60</v>
      </c>
      <c r="Q26" s="116"/>
      <c r="R26" s="116"/>
      <c r="S26" s="116"/>
      <c r="T26" s="116"/>
      <c r="U26" s="116"/>
      <c r="V26" s="116"/>
      <c r="W26" s="116"/>
      <c r="X26" s="118" t="s">
        <v>61</v>
      </c>
      <c r="Y26" s="118"/>
      <c r="Z26" s="118"/>
      <c r="AA26" s="119"/>
      <c r="AB26" s="144">
        <v>60</v>
      </c>
      <c r="AC26" s="145"/>
      <c r="AD26" s="157" t="s">
        <v>62</v>
      </c>
      <c r="AE26" s="158"/>
      <c r="AF26" s="148" t="s">
        <v>63</v>
      </c>
      <c r="AG26" s="149"/>
      <c r="AH26" s="149"/>
      <c r="AI26" s="149"/>
      <c r="AJ26" s="149"/>
      <c r="AK26" s="149"/>
      <c r="AL26" s="149"/>
      <c r="AM26" s="149"/>
      <c r="AN26" s="149"/>
      <c r="AO26" s="116" t="s">
        <v>15</v>
      </c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1"/>
    </row>
    <row r="27" spans="1:60" ht="14.55" customHeight="1" x14ac:dyDescent="0.25">
      <c r="A27" s="144">
        <v>21</v>
      </c>
      <c r="B27" s="145"/>
      <c r="C27" s="163"/>
      <c r="D27" s="164"/>
      <c r="E27" s="113" t="s">
        <v>64</v>
      </c>
      <c r="F27" s="114"/>
      <c r="G27" s="114"/>
      <c r="H27" s="114"/>
      <c r="I27" s="114"/>
      <c r="J27" s="114"/>
      <c r="K27" s="114"/>
      <c r="L27" s="114"/>
      <c r="M27" s="114"/>
      <c r="N27" s="171" t="s">
        <v>15</v>
      </c>
      <c r="O27" s="146"/>
      <c r="P27" s="146"/>
      <c r="Q27" s="146"/>
      <c r="R27" s="146"/>
      <c r="S27" s="146"/>
      <c r="T27" s="146"/>
      <c r="U27" s="146"/>
      <c r="V27" s="118" t="s">
        <v>65</v>
      </c>
      <c r="W27" s="118"/>
      <c r="X27" s="118"/>
      <c r="Y27" s="24"/>
      <c r="Z27" s="24"/>
      <c r="AA27" s="25"/>
      <c r="AB27" s="144">
        <v>61</v>
      </c>
      <c r="AC27" s="145"/>
      <c r="AD27" s="159"/>
      <c r="AE27" s="160"/>
      <c r="AF27" s="148" t="s">
        <v>66</v>
      </c>
      <c r="AG27" s="149"/>
      <c r="AH27" s="149"/>
      <c r="AI27" s="149"/>
      <c r="AJ27" s="149"/>
      <c r="AK27" s="118" t="s">
        <v>67</v>
      </c>
      <c r="AL27" s="118"/>
      <c r="AM27" s="118"/>
      <c r="AN27" s="118"/>
      <c r="AO27" s="118"/>
      <c r="AP27" s="116" t="s">
        <v>15</v>
      </c>
      <c r="AQ27" s="116"/>
      <c r="AR27" s="116"/>
      <c r="AS27" s="116"/>
      <c r="AT27" s="116"/>
      <c r="AU27" s="116"/>
      <c r="AV27" s="116"/>
      <c r="AW27" s="116"/>
      <c r="AX27" s="116"/>
      <c r="AY27" s="116"/>
      <c r="AZ27" s="111"/>
    </row>
    <row r="28" spans="1:60" ht="14.55" customHeight="1" x14ac:dyDescent="0.25">
      <c r="A28" s="144">
        <v>22</v>
      </c>
      <c r="B28" s="145"/>
      <c r="C28" s="163"/>
      <c r="D28" s="164"/>
      <c r="E28" s="113" t="s">
        <v>68</v>
      </c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6">
        <v>442</v>
      </c>
      <c r="R28" s="116"/>
      <c r="S28" s="116"/>
      <c r="T28" s="116"/>
      <c r="U28" s="116"/>
      <c r="V28" s="116"/>
      <c r="W28" s="116"/>
      <c r="X28" s="118" t="s">
        <v>69</v>
      </c>
      <c r="Y28" s="118"/>
      <c r="Z28" s="118"/>
      <c r="AA28" s="119"/>
      <c r="AB28" s="144">
        <v>62</v>
      </c>
      <c r="AC28" s="145"/>
      <c r="AD28" s="159"/>
      <c r="AE28" s="160"/>
      <c r="AF28" s="12"/>
      <c r="AG28" s="12"/>
      <c r="AH28" s="12"/>
      <c r="AI28" s="12"/>
      <c r="AJ28" s="118" t="s">
        <v>70</v>
      </c>
      <c r="AK28" s="118"/>
      <c r="AL28" s="118"/>
      <c r="AM28" s="118"/>
      <c r="AN28" s="118"/>
      <c r="AO28" s="118"/>
      <c r="AP28" s="116" t="s">
        <v>15</v>
      </c>
      <c r="AQ28" s="116"/>
      <c r="AR28" s="116"/>
      <c r="AS28" s="116"/>
      <c r="AT28" s="116"/>
      <c r="AU28" s="116"/>
      <c r="AV28" s="116"/>
      <c r="AW28" s="116"/>
      <c r="AX28" s="116"/>
      <c r="AY28" s="116"/>
      <c r="AZ28" s="111"/>
    </row>
    <row r="29" spans="1:60" ht="14.55" customHeight="1" x14ac:dyDescent="0.25">
      <c r="A29" s="144">
        <v>23</v>
      </c>
      <c r="B29" s="145"/>
      <c r="C29" s="185"/>
      <c r="D29" s="186"/>
      <c r="E29" s="113" t="s">
        <v>71</v>
      </c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6" t="s">
        <v>72</v>
      </c>
      <c r="R29" s="116"/>
      <c r="S29" s="116"/>
      <c r="T29" s="116"/>
      <c r="U29" s="116"/>
      <c r="V29" s="116"/>
      <c r="W29" s="116"/>
      <c r="X29" s="116"/>
      <c r="Y29" s="116"/>
      <c r="Z29" s="116"/>
      <c r="AA29" s="111"/>
      <c r="AB29" s="144">
        <v>63</v>
      </c>
      <c r="AC29" s="145"/>
      <c r="AD29" s="159"/>
      <c r="AE29" s="160"/>
      <c r="AF29" s="148" t="s">
        <v>73</v>
      </c>
      <c r="AG29" s="149"/>
      <c r="AH29" s="149"/>
      <c r="AI29" s="149"/>
      <c r="AJ29" s="149"/>
      <c r="AK29" s="149"/>
      <c r="AL29" s="149"/>
      <c r="AM29" s="149"/>
      <c r="AN29" s="149"/>
      <c r="AO29" s="149"/>
      <c r="AP29" s="110"/>
      <c r="AQ29" s="111"/>
      <c r="AR29" s="148" t="s">
        <v>74</v>
      </c>
      <c r="AS29" s="149"/>
      <c r="AT29" s="149"/>
      <c r="AU29" s="149"/>
      <c r="AV29" s="149"/>
      <c r="AW29" s="149"/>
      <c r="AX29" s="149"/>
      <c r="AY29" s="149"/>
      <c r="AZ29" s="156"/>
    </row>
    <row r="30" spans="1:60" ht="14.55" customHeight="1" x14ac:dyDescent="0.25">
      <c r="A30" s="144">
        <v>24</v>
      </c>
      <c r="B30" s="145"/>
      <c r="C30" s="161" t="s">
        <v>75</v>
      </c>
      <c r="D30" s="162"/>
      <c r="E30" s="113" t="s">
        <v>76</v>
      </c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65" t="s">
        <v>77</v>
      </c>
      <c r="Q30" s="165"/>
      <c r="R30" s="165"/>
      <c r="S30" s="117"/>
      <c r="T30" s="119"/>
      <c r="U30" s="117" t="s">
        <v>78</v>
      </c>
      <c r="V30" s="118"/>
      <c r="W30" s="118"/>
      <c r="X30" s="118"/>
      <c r="Y30" s="24"/>
      <c r="Z30" s="110" t="s">
        <v>12</v>
      </c>
      <c r="AA30" s="111"/>
      <c r="AB30" s="144">
        <v>64</v>
      </c>
      <c r="AC30" s="145"/>
      <c r="AD30" s="159"/>
      <c r="AE30" s="160"/>
      <c r="AF30" s="110"/>
      <c r="AG30" s="116"/>
      <c r="AH30" s="116"/>
      <c r="AI30" s="116"/>
      <c r="AJ30" s="116"/>
      <c r="AK30" s="116"/>
      <c r="AL30" s="116"/>
      <c r="AM30" s="116"/>
      <c r="AN30" s="116"/>
      <c r="AO30" s="111"/>
      <c r="AP30" s="110"/>
      <c r="AQ30" s="111"/>
      <c r="AR30" s="148" t="s">
        <v>79</v>
      </c>
      <c r="AS30" s="149"/>
      <c r="AT30" s="149"/>
      <c r="AU30" s="149"/>
      <c r="AV30" s="149"/>
      <c r="AW30" s="149"/>
      <c r="AX30" s="149"/>
      <c r="AY30" s="149"/>
      <c r="AZ30" s="156"/>
    </row>
    <row r="31" spans="1:60" ht="14.55" customHeight="1" x14ac:dyDescent="0.25">
      <c r="A31" s="144">
        <v>25</v>
      </c>
      <c r="B31" s="145"/>
      <c r="C31" s="163"/>
      <c r="D31" s="164"/>
      <c r="E31" s="113" t="s">
        <v>80</v>
      </c>
      <c r="F31" s="114"/>
      <c r="G31" s="114"/>
      <c r="H31" s="114"/>
      <c r="I31" s="114"/>
      <c r="J31" s="114"/>
      <c r="K31" s="114"/>
      <c r="L31" s="114"/>
      <c r="M31" s="114"/>
      <c r="N31" s="150" t="s">
        <v>15</v>
      </c>
      <c r="O31" s="147"/>
      <c r="P31" s="113" t="s">
        <v>81</v>
      </c>
      <c r="Q31" s="114"/>
      <c r="R31" s="114"/>
      <c r="S31" s="114"/>
      <c r="T31" s="114"/>
      <c r="U31" s="114"/>
      <c r="V31" s="114"/>
      <c r="W31" s="114"/>
      <c r="X31" s="114"/>
      <c r="Y31" s="11"/>
      <c r="Z31" s="110" t="s">
        <v>15</v>
      </c>
      <c r="AA31" s="111"/>
      <c r="AB31" s="144">
        <v>65</v>
      </c>
      <c r="AC31" s="145"/>
      <c r="AD31" s="159"/>
      <c r="AE31" s="160"/>
      <c r="AF31" s="110"/>
      <c r="AG31" s="116"/>
      <c r="AH31" s="116"/>
      <c r="AI31" s="116"/>
      <c r="AJ31" s="116"/>
      <c r="AK31" s="116"/>
      <c r="AL31" s="116"/>
      <c r="AM31" s="116"/>
      <c r="AN31" s="116"/>
      <c r="AO31" s="111"/>
      <c r="AP31" s="110"/>
      <c r="AQ31" s="111"/>
      <c r="AR31" s="148" t="s">
        <v>82</v>
      </c>
      <c r="AS31" s="149"/>
      <c r="AT31" s="149"/>
      <c r="AU31" s="149"/>
      <c r="AV31" s="149"/>
      <c r="AW31" s="149"/>
      <c r="AX31" s="149"/>
      <c r="AY31" s="149"/>
      <c r="AZ31" s="156"/>
    </row>
    <row r="32" spans="1:60" ht="14.55" customHeight="1" x14ac:dyDescent="0.25">
      <c r="A32" s="144">
        <v>26</v>
      </c>
      <c r="B32" s="145"/>
      <c r="C32" s="163"/>
      <c r="D32" s="164"/>
      <c r="E32" s="113" t="s">
        <v>83</v>
      </c>
      <c r="F32" s="114"/>
      <c r="G32" s="114"/>
      <c r="H32" s="114"/>
      <c r="I32" s="114"/>
      <c r="J32" s="114"/>
      <c r="K32" s="114"/>
      <c r="L32" s="114"/>
      <c r="M32" s="114"/>
      <c r="N32" s="150" t="s">
        <v>15</v>
      </c>
      <c r="O32" s="147"/>
      <c r="P32" s="113" t="s">
        <v>84</v>
      </c>
      <c r="Q32" s="114"/>
      <c r="R32" s="114"/>
      <c r="S32" s="114"/>
      <c r="T32" s="114"/>
      <c r="U32" s="114"/>
      <c r="V32" s="114"/>
      <c r="W32" s="114"/>
      <c r="X32" s="114"/>
      <c r="Y32" s="11"/>
      <c r="Z32" s="110" t="s">
        <v>15</v>
      </c>
      <c r="AA32" s="111"/>
      <c r="AB32" s="144">
        <v>66</v>
      </c>
      <c r="AC32" s="145"/>
      <c r="AD32" s="159"/>
      <c r="AE32" s="160"/>
      <c r="AF32" s="110"/>
      <c r="AG32" s="116"/>
      <c r="AH32" s="116"/>
      <c r="AI32" s="116"/>
      <c r="AJ32" s="116"/>
      <c r="AK32" s="116"/>
      <c r="AL32" s="116"/>
      <c r="AM32" s="116"/>
      <c r="AN32" s="116"/>
      <c r="AO32" s="116"/>
      <c r="AP32" s="116"/>
      <c r="AQ32" s="116"/>
      <c r="AR32" s="116"/>
      <c r="AS32" s="116"/>
      <c r="AT32" s="116"/>
      <c r="AU32" s="116"/>
      <c r="AV32" s="116"/>
      <c r="AW32" s="116"/>
      <c r="AX32" s="116"/>
      <c r="AY32" s="116"/>
      <c r="AZ32" s="111"/>
    </row>
    <row r="33" spans="1:53" ht="14.55" customHeight="1" x14ac:dyDescent="0.25">
      <c r="A33" s="144">
        <v>27</v>
      </c>
      <c r="B33" s="145"/>
      <c r="C33" s="163"/>
      <c r="D33" s="164"/>
      <c r="E33" s="148" t="s">
        <v>85</v>
      </c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116" t="s">
        <v>15</v>
      </c>
      <c r="T33" s="116"/>
      <c r="U33" s="116"/>
      <c r="V33" s="116"/>
      <c r="W33" s="116"/>
      <c r="X33" s="118" t="s">
        <v>86</v>
      </c>
      <c r="Y33" s="118"/>
      <c r="Z33" s="118"/>
      <c r="AA33" s="119"/>
      <c r="AB33" s="144">
        <v>67</v>
      </c>
      <c r="AC33" s="145"/>
      <c r="AD33" s="159"/>
      <c r="AE33" s="160"/>
      <c r="AF33" s="148" t="s">
        <v>87</v>
      </c>
      <c r="AG33" s="149"/>
      <c r="AH33" s="149"/>
      <c r="AI33" s="149"/>
      <c r="AJ33" s="149"/>
      <c r="AK33" s="149"/>
      <c r="AL33" s="149"/>
      <c r="AM33" s="149"/>
      <c r="AN33" s="149"/>
      <c r="AO33" s="149"/>
      <c r="AP33" s="149"/>
      <c r="AQ33" s="110"/>
      <c r="AR33" s="111"/>
      <c r="AS33" s="148" t="s">
        <v>88</v>
      </c>
      <c r="AT33" s="149"/>
      <c r="AU33" s="149"/>
      <c r="AV33" s="149"/>
      <c r="AW33" s="149"/>
      <c r="AX33" s="149"/>
      <c r="AY33" s="149"/>
      <c r="AZ33" s="156"/>
    </row>
    <row r="34" spans="1:53" ht="14.55" customHeight="1" x14ac:dyDescent="0.25">
      <c r="A34" s="144">
        <v>28</v>
      </c>
      <c r="B34" s="145"/>
      <c r="C34" s="163"/>
      <c r="D34" s="164"/>
      <c r="E34" s="148" t="s">
        <v>89</v>
      </c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16" t="s">
        <v>15</v>
      </c>
      <c r="T34" s="116"/>
      <c r="U34" s="116"/>
      <c r="V34" s="116"/>
      <c r="W34" s="116"/>
      <c r="X34" s="118" t="s">
        <v>90</v>
      </c>
      <c r="Y34" s="118"/>
      <c r="Z34" s="118"/>
      <c r="AA34" s="119"/>
      <c r="AB34" s="144">
        <v>68</v>
      </c>
      <c r="AC34" s="145"/>
      <c r="AD34" s="159"/>
      <c r="AE34" s="160"/>
      <c r="AF34" s="12"/>
      <c r="AG34" s="12"/>
      <c r="AH34" s="12"/>
      <c r="AI34" s="12"/>
      <c r="AJ34" s="13"/>
      <c r="AK34" s="16"/>
      <c r="AL34" s="12"/>
      <c r="AM34" s="12"/>
      <c r="AN34" s="12"/>
      <c r="AO34" s="12"/>
      <c r="AP34" s="12"/>
      <c r="AQ34" s="110"/>
      <c r="AR34" s="111"/>
      <c r="AS34" s="148" t="s">
        <v>91</v>
      </c>
      <c r="AT34" s="149"/>
      <c r="AU34" s="149"/>
      <c r="AV34" s="149"/>
      <c r="AW34" s="149"/>
      <c r="AX34" s="149"/>
      <c r="AY34" s="149"/>
      <c r="AZ34" s="156"/>
    </row>
    <row r="35" spans="1:53" ht="14.55" customHeight="1" x14ac:dyDescent="0.25">
      <c r="A35" s="144">
        <v>29</v>
      </c>
      <c r="B35" s="145"/>
      <c r="C35" s="163"/>
      <c r="D35" s="164"/>
      <c r="E35" s="148" t="s">
        <v>92</v>
      </c>
      <c r="F35" s="149"/>
      <c r="G35" s="149"/>
      <c r="H35" s="149"/>
      <c r="I35" s="149"/>
      <c r="J35" s="149"/>
      <c r="K35" s="149"/>
      <c r="L35" s="149"/>
      <c r="M35" s="149"/>
      <c r="N35" s="149"/>
      <c r="O35" s="149"/>
      <c r="P35" s="149"/>
      <c r="Q35" s="149"/>
      <c r="R35" s="149"/>
      <c r="S35" s="116" t="s">
        <v>15</v>
      </c>
      <c r="T35" s="116"/>
      <c r="U35" s="116"/>
      <c r="V35" s="116"/>
      <c r="W35" s="116"/>
      <c r="X35" s="118" t="s">
        <v>93</v>
      </c>
      <c r="Y35" s="118"/>
      <c r="Z35" s="118"/>
      <c r="AA35" s="119"/>
      <c r="AB35" s="144">
        <v>69</v>
      </c>
      <c r="AC35" s="145"/>
      <c r="AD35" s="159"/>
      <c r="AE35" s="160"/>
      <c r="AF35" s="148" t="s">
        <v>94</v>
      </c>
      <c r="AG35" s="149"/>
      <c r="AH35" s="149"/>
      <c r="AI35" s="149"/>
      <c r="AJ35" s="149"/>
      <c r="AK35" s="149"/>
      <c r="AL35" s="149"/>
      <c r="AM35" s="149"/>
      <c r="AN35" s="118" t="s">
        <v>15</v>
      </c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9"/>
    </row>
    <row r="36" spans="1:53" ht="14.55" customHeight="1" x14ac:dyDescent="0.25">
      <c r="A36" s="144">
        <v>30</v>
      </c>
      <c r="B36" s="145"/>
      <c r="C36" s="163"/>
      <c r="D36" s="164"/>
      <c r="E36" s="148" t="s">
        <v>95</v>
      </c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16" t="s">
        <v>15</v>
      </c>
      <c r="T36" s="116"/>
      <c r="U36" s="116"/>
      <c r="V36" s="116"/>
      <c r="W36" s="116"/>
      <c r="X36" s="118" t="s">
        <v>34</v>
      </c>
      <c r="Y36" s="118"/>
      <c r="Z36" s="118"/>
      <c r="AA36" s="119"/>
      <c r="AB36" s="144">
        <v>70</v>
      </c>
      <c r="AC36" s="145"/>
      <c r="AD36" s="159"/>
      <c r="AE36" s="160"/>
      <c r="AF36" s="148" t="s">
        <v>96</v>
      </c>
      <c r="AG36" s="149"/>
      <c r="AH36" s="149"/>
      <c r="AI36" s="149"/>
      <c r="AJ36" s="149"/>
      <c r="AK36" s="149"/>
      <c r="AL36" s="149"/>
      <c r="AM36" s="149"/>
      <c r="AN36" s="116" t="s">
        <v>15</v>
      </c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  <c r="AZ36" s="111"/>
    </row>
    <row r="37" spans="1:53" ht="14.55" customHeight="1" x14ac:dyDescent="0.25">
      <c r="A37" s="144">
        <v>31</v>
      </c>
      <c r="B37" s="145"/>
      <c r="C37" s="163"/>
      <c r="D37" s="164"/>
      <c r="E37" s="148" t="s">
        <v>97</v>
      </c>
      <c r="F37" s="149"/>
      <c r="G37" s="149"/>
      <c r="H37" s="149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16" t="s">
        <v>15</v>
      </c>
      <c r="T37" s="116"/>
      <c r="U37" s="116"/>
      <c r="V37" s="116"/>
      <c r="W37" s="116"/>
      <c r="X37" s="118" t="s">
        <v>98</v>
      </c>
      <c r="Y37" s="118"/>
      <c r="Z37" s="118"/>
      <c r="AA37" s="119"/>
      <c r="AB37" s="144">
        <v>71</v>
      </c>
      <c r="AC37" s="145"/>
      <c r="AD37" s="159"/>
      <c r="AE37" s="160"/>
      <c r="AF37" s="148" t="s">
        <v>99</v>
      </c>
      <c r="AG37" s="149"/>
      <c r="AH37" s="149"/>
      <c r="AI37" s="156"/>
      <c r="AJ37" s="117" t="s">
        <v>12</v>
      </c>
      <c r="AK37" s="119"/>
      <c r="AL37" s="148" t="s">
        <v>100</v>
      </c>
      <c r="AM37" s="149"/>
      <c r="AN37" s="149"/>
      <c r="AO37" s="149"/>
      <c r="AP37" s="149"/>
      <c r="AQ37" s="116" t="s">
        <v>101</v>
      </c>
      <c r="AR37" s="116"/>
      <c r="AS37" s="116"/>
      <c r="AT37" s="116"/>
      <c r="AU37" s="116"/>
      <c r="AV37" s="116"/>
      <c r="AW37" s="116"/>
      <c r="AX37" s="116"/>
      <c r="AY37" s="116"/>
      <c r="AZ37" s="111"/>
      <c r="BA37" s="21"/>
    </row>
    <row r="38" spans="1:53" ht="14.55" customHeight="1" x14ac:dyDescent="0.25">
      <c r="A38" s="144">
        <v>32</v>
      </c>
      <c r="B38" s="145"/>
      <c r="C38" s="163"/>
      <c r="D38" s="164"/>
      <c r="E38" s="148" t="s">
        <v>102</v>
      </c>
      <c r="F38" s="149"/>
      <c r="G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53" t="s">
        <v>15</v>
      </c>
      <c r="T38" s="153"/>
      <c r="U38" s="153"/>
      <c r="V38" s="153"/>
      <c r="W38" s="153"/>
      <c r="X38" s="154" t="s">
        <v>98</v>
      </c>
      <c r="Y38" s="154"/>
      <c r="Z38" s="154"/>
      <c r="AA38" s="155"/>
      <c r="AB38" s="144">
        <v>72</v>
      </c>
      <c r="AC38" s="145"/>
      <c r="AD38" s="159"/>
      <c r="AE38" s="160"/>
      <c r="AF38" s="17"/>
      <c r="AG38" s="15"/>
      <c r="AH38" s="15"/>
      <c r="AI38" s="15"/>
      <c r="AJ38" s="117"/>
      <c r="AK38" s="119"/>
      <c r="AL38" s="148" t="s">
        <v>103</v>
      </c>
      <c r="AM38" s="149"/>
      <c r="AN38" s="149"/>
      <c r="AO38" s="149"/>
      <c r="AP38" s="149"/>
      <c r="AQ38" s="116"/>
      <c r="AR38" s="116"/>
      <c r="AS38" s="116"/>
      <c r="AT38" s="116"/>
      <c r="AU38" s="116"/>
      <c r="AV38" s="116"/>
      <c r="AW38" s="116"/>
      <c r="AX38" s="116"/>
      <c r="AY38" s="116"/>
      <c r="AZ38" s="111"/>
    </row>
    <row r="39" spans="1:53" ht="14.55" customHeight="1" x14ac:dyDescent="0.25">
      <c r="A39" s="144">
        <v>33</v>
      </c>
      <c r="B39" s="145"/>
      <c r="C39" s="163"/>
      <c r="D39" s="164"/>
      <c r="E39" s="148" t="s">
        <v>104</v>
      </c>
      <c r="F39" s="149"/>
      <c r="G39" s="149"/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16" t="s">
        <v>15</v>
      </c>
      <c r="T39" s="116"/>
      <c r="U39" s="116"/>
      <c r="V39" s="116"/>
      <c r="W39" s="116"/>
      <c r="X39" s="118" t="s">
        <v>105</v>
      </c>
      <c r="Y39" s="118"/>
      <c r="Z39" s="118"/>
      <c r="AA39" s="119"/>
      <c r="AB39" s="144">
        <v>73</v>
      </c>
      <c r="AC39" s="145"/>
      <c r="AD39" s="159"/>
      <c r="AE39" s="160"/>
      <c r="AF39" s="18"/>
      <c r="AG39" s="18"/>
      <c r="AH39" s="18"/>
      <c r="AI39" s="18"/>
      <c r="AJ39" s="117"/>
      <c r="AK39" s="119"/>
      <c r="AL39" s="117" t="s">
        <v>106</v>
      </c>
      <c r="AM39" s="118"/>
      <c r="AN39" s="118"/>
      <c r="AO39" s="118"/>
      <c r="AP39" s="118"/>
      <c r="AQ39" s="118"/>
      <c r="AR39" s="118"/>
      <c r="AS39" s="118"/>
      <c r="AT39" s="118"/>
      <c r="AU39" s="118"/>
      <c r="AV39" s="151" t="s">
        <v>15</v>
      </c>
      <c r="AW39" s="151"/>
      <c r="AX39" s="151"/>
      <c r="AY39" s="151"/>
      <c r="AZ39" s="152"/>
    </row>
    <row r="40" spans="1:53" ht="14.55" customHeight="1" x14ac:dyDescent="0.25">
      <c r="A40" s="144">
        <v>34</v>
      </c>
      <c r="B40" s="145"/>
      <c r="C40" s="163"/>
      <c r="D40" s="164"/>
      <c r="E40" s="148" t="s">
        <v>107</v>
      </c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16" t="s">
        <v>15</v>
      </c>
      <c r="T40" s="116"/>
      <c r="U40" s="116"/>
      <c r="V40" s="116"/>
      <c r="W40" s="116"/>
      <c r="X40" s="118" t="s">
        <v>55</v>
      </c>
      <c r="Y40" s="118"/>
      <c r="Z40" s="118"/>
      <c r="AA40" s="119"/>
      <c r="AB40" s="144">
        <v>74</v>
      </c>
      <c r="AC40" s="145"/>
      <c r="AD40" s="159"/>
      <c r="AE40" s="160"/>
      <c r="AF40" s="148" t="s">
        <v>108</v>
      </c>
      <c r="AG40" s="149"/>
      <c r="AH40" s="149"/>
      <c r="AI40" s="149"/>
      <c r="AJ40" s="149"/>
      <c r="AK40" s="149"/>
      <c r="AL40" s="149"/>
      <c r="AM40" s="149"/>
      <c r="AN40" s="149"/>
      <c r="AO40" s="149"/>
      <c r="AP40" s="117"/>
      <c r="AQ40" s="119"/>
      <c r="AR40" s="107" t="s">
        <v>88</v>
      </c>
      <c r="AS40" s="108"/>
      <c r="AT40" s="108"/>
      <c r="AU40" s="108"/>
      <c r="AV40" s="108"/>
      <c r="AW40" s="108"/>
      <c r="AX40" s="108"/>
      <c r="AY40" s="108"/>
      <c r="AZ40" s="109"/>
    </row>
    <row r="41" spans="1:53" ht="14.55" customHeight="1" x14ac:dyDescent="0.25">
      <c r="A41" s="144">
        <v>35</v>
      </c>
      <c r="B41" s="145"/>
      <c r="C41" s="163"/>
      <c r="D41" s="164"/>
      <c r="E41" s="148" t="s">
        <v>109</v>
      </c>
      <c r="F41" s="149"/>
      <c r="G41" s="149"/>
      <c r="H41" s="149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16" t="s">
        <v>15</v>
      </c>
      <c r="T41" s="116"/>
      <c r="U41" s="116"/>
      <c r="V41" s="116"/>
      <c r="W41" s="116"/>
      <c r="X41" s="118" t="s">
        <v>34</v>
      </c>
      <c r="Y41" s="118"/>
      <c r="Z41" s="118"/>
      <c r="AA41" s="119"/>
      <c r="AB41" s="144">
        <v>75</v>
      </c>
      <c r="AC41" s="145"/>
      <c r="AD41" s="159"/>
      <c r="AE41" s="160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17"/>
      <c r="AQ41" s="119"/>
      <c r="AR41" s="107" t="s">
        <v>91</v>
      </c>
      <c r="AS41" s="108"/>
      <c r="AT41" s="108"/>
      <c r="AU41" s="108"/>
      <c r="AV41" s="108"/>
      <c r="AW41" s="108"/>
      <c r="AX41" s="108"/>
      <c r="AY41" s="108"/>
      <c r="AZ41" s="109"/>
    </row>
    <row r="42" spans="1:53" ht="14.55" customHeight="1" x14ac:dyDescent="0.25">
      <c r="A42" s="144">
        <v>36</v>
      </c>
      <c r="B42" s="145"/>
      <c r="C42" s="163"/>
      <c r="D42" s="164"/>
      <c r="E42" s="148" t="s">
        <v>110</v>
      </c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16" t="s">
        <v>15</v>
      </c>
      <c r="T42" s="116"/>
      <c r="U42" s="116"/>
      <c r="V42" s="116"/>
      <c r="W42" s="116"/>
      <c r="X42" s="118" t="s">
        <v>55</v>
      </c>
      <c r="Y42" s="118"/>
      <c r="Z42" s="118"/>
      <c r="AA42" s="119"/>
      <c r="AB42" s="144">
        <v>76</v>
      </c>
      <c r="AC42" s="145"/>
      <c r="AD42" s="159"/>
      <c r="AE42" s="160"/>
      <c r="AF42" s="148" t="s">
        <v>111</v>
      </c>
      <c r="AG42" s="149"/>
      <c r="AH42" s="149"/>
      <c r="AI42" s="149"/>
      <c r="AJ42" s="149"/>
      <c r="AK42" s="149"/>
      <c r="AL42" s="149"/>
      <c r="AM42" s="149"/>
      <c r="AN42" s="118" t="s">
        <v>112</v>
      </c>
      <c r="AO42" s="118"/>
      <c r="AP42" s="118"/>
      <c r="AQ42" s="146" t="s">
        <v>60</v>
      </c>
      <c r="AR42" s="146"/>
      <c r="AS42" s="146"/>
      <c r="AT42" s="146"/>
      <c r="AU42" s="146"/>
      <c r="AV42" s="146"/>
      <c r="AW42" s="146"/>
      <c r="AX42" s="146"/>
      <c r="AY42" s="146"/>
      <c r="AZ42" s="147"/>
    </row>
    <row r="43" spans="1:53" ht="14.55" customHeight="1" x14ac:dyDescent="0.25">
      <c r="A43" s="144">
        <v>37</v>
      </c>
      <c r="B43" s="145"/>
      <c r="C43" s="163"/>
      <c r="D43" s="164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44">
        <v>77</v>
      </c>
      <c r="AC43" s="145"/>
      <c r="AD43" s="159"/>
      <c r="AE43" s="160"/>
      <c r="AF43" s="10"/>
      <c r="AG43" s="10"/>
      <c r="AH43" s="10"/>
      <c r="AI43" s="10"/>
      <c r="AJ43" s="10"/>
      <c r="AK43" s="118" t="s">
        <v>113</v>
      </c>
      <c r="AL43" s="118"/>
      <c r="AM43" s="118"/>
      <c r="AN43" s="118"/>
      <c r="AO43" s="118"/>
      <c r="AP43" s="118"/>
      <c r="AQ43" s="146" t="s">
        <v>60</v>
      </c>
      <c r="AR43" s="146"/>
      <c r="AS43" s="146"/>
      <c r="AT43" s="146"/>
      <c r="AU43" s="146"/>
      <c r="AV43" s="146"/>
      <c r="AW43" s="146"/>
      <c r="AX43" s="146"/>
      <c r="AY43" s="146"/>
      <c r="AZ43" s="147"/>
    </row>
    <row r="44" spans="1:53" ht="14.55" customHeight="1" x14ac:dyDescent="0.25">
      <c r="A44" s="144">
        <v>38</v>
      </c>
      <c r="B44" s="145"/>
      <c r="C44" s="163"/>
      <c r="D44" s="164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44">
        <v>78</v>
      </c>
      <c r="AC44" s="145"/>
      <c r="AD44" s="159"/>
      <c r="AE44" s="160"/>
      <c r="AF44" s="19"/>
      <c r="AG44" s="19"/>
      <c r="AH44" s="19"/>
      <c r="AI44" s="19"/>
      <c r="AJ44" s="19"/>
      <c r="AK44" s="118" t="s">
        <v>114</v>
      </c>
      <c r="AL44" s="118"/>
      <c r="AM44" s="118"/>
      <c r="AN44" s="118"/>
      <c r="AO44" s="118"/>
      <c r="AP44" s="118"/>
      <c r="AQ44" s="146" t="s">
        <v>60</v>
      </c>
      <c r="AR44" s="146"/>
      <c r="AS44" s="146"/>
      <c r="AT44" s="146"/>
      <c r="AU44" s="146"/>
      <c r="AV44" s="146"/>
      <c r="AW44" s="146"/>
      <c r="AX44" s="146"/>
      <c r="AY44" s="146"/>
      <c r="AZ44" s="147"/>
    </row>
    <row r="45" spans="1:53" ht="14.55" customHeight="1" x14ac:dyDescent="0.25">
      <c r="A45" s="144">
        <v>39</v>
      </c>
      <c r="B45" s="145"/>
      <c r="C45" s="163"/>
      <c r="D45" s="164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44">
        <v>79</v>
      </c>
      <c r="AC45" s="145"/>
      <c r="AD45" s="159"/>
      <c r="AE45" s="160"/>
      <c r="AF45" s="148" t="s">
        <v>115</v>
      </c>
      <c r="AG45" s="149"/>
      <c r="AH45" s="149"/>
      <c r="AI45" s="149"/>
      <c r="AJ45" s="149"/>
      <c r="AK45" s="149"/>
      <c r="AL45" s="149"/>
      <c r="AM45" s="149"/>
      <c r="AN45" s="150"/>
      <c r="AO45" s="147"/>
      <c r="AP45" s="107" t="s">
        <v>116</v>
      </c>
      <c r="AQ45" s="108"/>
      <c r="AR45" s="108"/>
      <c r="AS45" s="108"/>
      <c r="AT45" s="108"/>
      <c r="AU45" s="108"/>
      <c r="AV45" s="108"/>
      <c r="AW45" s="108"/>
      <c r="AX45" s="108"/>
      <c r="AY45" s="108"/>
      <c r="AZ45" s="109"/>
    </row>
    <row r="46" spans="1:53" ht="14.55" customHeight="1" thickBot="1" x14ac:dyDescent="0.3">
      <c r="A46" s="120">
        <v>40</v>
      </c>
      <c r="B46" s="121"/>
      <c r="C46" s="163"/>
      <c r="D46" s="16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20">
        <v>80</v>
      </c>
      <c r="AC46" s="121"/>
      <c r="AD46" s="159"/>
      <c r="AE46" s="160"/>
      <c r="AF46" s="20"/>
      <c r="AG46" s="20"/>
      <c r="AH46" s="20"/>
      <c r="AI46" s="20"/>
      <c r="AJ46" s="20"/>
      <c r="AK46" s="20"/>
      <c r="AL46" s="20"/>
      <c r="AM46" s="20"/>
      <c r="AN46" s="122"/>
      <c r="AO46" s="123"/>
      <c r="AP46" s="124" t="s">
        <v>117</v>
      </c>
      <c r="AQ46" s="125"/>
      <c r="AR46" s="125"/>
      <c r="AS46" s="125"/>
      <c r="AT46" s="125"/>
      <c r="AU46" s="125"/>
      <c r="AV46" s="125"/>
      <c r="AW46" s="125"/>
      <c r="AX46" s="125"/>
      <c r="AY46" s="125"/>
      <c r="AZ46" s="126"/>
    </row>
    <row r="47" spans="1:53" ht="14.55" customHeight="1" thickBot="1" x14ac:dyDescent="0.3">
      <c r="A47" s="127" t="s">
        <v>118</v>
      </c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8"/>
      <c r="AB47" s="128"/>
      <c r="AC47" s="128"/>
      <c r="AD47" s="128"/>
      <c r="AE47" s="128"/>
      <c r="AF47" s="128"/>
      <c r="AG47" s="128"/>
      <c r="AH47" s="128"/>
      <c r="AI47" s="128"/>
      <c r="AJ47" s="128"/>
      <c r="AK47" s="128"/>
      <c r="AL47" s="128"/>
      <c r="AM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  <c r="AZ47" s="129"/>
    </row>
    <row r="48" spans="1:53" ht="14.55" customHeight="1" x14ac:dyDescent="0.25">
      <c r="A48" s="130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2"/>
      <c r="N48" s="136" t="s">
        <v>29</v>
      </c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8"/>
      <c r="AB48" s="139" t="s">
        <v>119</v>
      </c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1" t="s">
        <v>32</v>
      </c>
      <c r="AS48" s="142"/>
      <c r="AT48" s="142"/>
      <c r="AU48" s="142"/>
      <c r="AV48" s="142"/>
      <c r="AW48" s="142"/>
      <c r="AX48" s="142"/>
      <c r="AY48" s="142"/>
      <c r="AZ48" s="143"/>
    </row>
    <row r="49" spans="1:52" ht="14.55" customHeight="1" x14ac:dyDescent="0.25">
      <c r="A49" s="133"/>
      <c r="B49" s="134"/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M49" s="135"/>
      <c r="N49" s="117" t="s">
        <v>120</v>
      </c>
      <c r="O49" s="118"/>
      <c r="P49" s="118"/>
      <c r="Q49" s="118"/>
      <c r="R49" s="118"/>
      <c r="S49" s="118"/>
      <c r="T49" s="118"/>
      <c r="U49" s="119"/>
      <c r="V49" s="117" t="s">
        <v>121</v>
      </c>
      <c r="W49" s="118"/>
      <c r="X49" s="118"/>
      <c r="Y49" s="118"/>
      <c r="Z49" s="118"/>
      <c r="AA49" s="119"/>
      <c r="AB49" s="117" t="s">
        <v>122</v>
      </c>
      <c r="AC49" s="119"/>
      <c r="AD49" s="117" t="s">
        <v>123</v>
      </c>
      <c r="AE49" s="119"/>
      <c r="AF49" s="117" t="s">
        <v>124</v>
      </c>
      <c r="AG49" s="119"/>
      <c r="AH49" s="117" t="s">
        <v>125</v>
      </c>
      <c r="AI49" s="119"/>
      <c r="AJ49" s="117" t="s">
        <v>126</v>
      </c>
      <c r="AK49" s="119"/>
      <c r="AL49" s="117" t="s">
        <v>127</v>
      </c>
      <c r="AM49" s="119"/>
      <c r="AN49" s="117" t="s">
        <v>128</v>
      </c>
      <c r="AO49" s="119"/>
      <c r="AP49" s="117" t="s">
        <v>129</v>
      </c>
      <c r="AQ49" s="118"/>
      <c r="AR49" s="136"/>
      <c r="AS49" s="137"/>
      <c r="AT49" s="137"/>
      <c r="AU49" s="137"/>
      <c r="AV49" s="137"/>
      <c r="AW49" s="137"/>
      <c r="AX49" s="137"/>
      <c r="AY49" s="137"/>
      <c r="AZ49" s="138"/>
    </row>
    <row r="50" spans="1:52" ht="14.55" customHeight="1" x14ac:dyDescent="0.25">
      <c r="A50" s="113" t="s">
        <v>130</v>
      </c>
      <c r="B50" s="114"/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5"/>
      <c r="N50" s="110"/>
      <c r="O50" s="116"/>
      <c r="P50" s="116"/>
      <c r="Q50" s="116"/>
      <c r="R50" s="116"/>
      <c r="S50" s="116"/>
      <c r="T50" s="116"/>
      <c r="U50" s="111"/>
      <c r="V50" s="110"/>
      <c r="W50" s="116"/>
      <c r="X50" s="116"/>
      <c r="Y50" s="116"/>
      <c r="Z50" s="116"/>
      <c r="AA50" s="111"/>
      <c r="AB50" s="110"/>
      <c r="AC50" s="111"/>
      <c r="AD50" s="110"/>
      <c r="AE50" s="111"/>
      <c r="AF50" s="110"/>
      <c r="AG50" s="111"/>
      <c r="AH50" s="110"/>
      <c r="AI50" s="111"/>
      <c r="AJ50" s="110"/>
      <c r="AK50" s="111"/>
      <c r="AL50" s="110"/>
      <c r="AM50" s="111"/>
      <c r="AN50" s="110"/>
      <c r="AO50" s="111"/>
      <c r="AP50" s="110"/>
      <c r="AQ50" s="111"/>
      <c r="AR50" s="104"/>
      <c r="AS50" s="105"/>
      <c r="AT50" s="105"/>
      <c r="AU50" s="105"/>
      <c r="AV50" s="105"/>
      <c r="AW50" s="105"/>
      <c r="AX50" s="105"/>
      <c r="AY50" s="105"/>
      <c r="AZ50" s="106"/>
    </row>
    <row r="51" spans="1:52" ht="14.55" customHeight="1" x14ac:dyDescent="0.25">
      <c r="A51" s="113" t="s">
        <v>131</v>
      </c>
      <c r="B51" s="114"/>
      <c r="C51" s="114"/>
      <c r="D51" s="114"/>
      <c r="E51" s="114"/>
      <c r="F51" s="114"/>
      <c r="G51" s="114"/>
      <c r="H51" s="114"/>
      <c r="I51" s="114"/>
      <c r="J51" s="114"/>
      <c r="K51" s="114"/>
      <c r="L51" s="114"/>
      <c r="M51" s="115"/>
      <c r="N51" s="110"/>
      <c r="O51" s="116"/>
      <c r="P51" s="116"/>
      <c r="Q51" s="116"/>
      <c r="R51" s="116"/>
      <c r="S51" s="116"/>
      <c r="T51" s="116"/>
      <c r="U51" s="111"/>
      <c r="V51" s="110"/>
      <c r="W51" s="116"/>
      <c r="X51" s="116"/>
      <c r="Y51" s="116"/>
      <c r="Z51" s="116"/>
      <c r="AA51" s="111"/>
      <c r="AB51" s="110"/>
      <c r="AC51" s="111"/>
      <c r="AD51" s="110"/>
      <c r="AE51" s="111"/>
      <c r="AF51" s="110"/>
      <c r="AG51" s="111"/>
      <c r="AH51" s="110"/>
      <c r="AI51" s="111"/>
      <c r="AJ51" s="110"/>
      <c r="AK51" s="111"/>
      <c r="AL51" s="110"/>
      <c r="AM51" s="111"/>
      <c r="AN51" s="110"/>
      <c r="AO51" s="111"/>
      <c r="AP51" s="110"/>
      <c r="AQ51" s="111"/>
      <c r="AR51" s="104"/>
      <c r="AS51" s="105"/>
      <c r="AT51" s="105"/>
      <c r="AU51" s="105"/>
      <c r="AV51" s="105"/>
      <c r="AW51" s="105"/>
      <c r="AX51" s="105"/>
      <c r="AY51" s="105"/>
      <c r="AZ51" s="106"/>
    </row>
    <row r="52" spans="1:52" ht="14.55" customHeight="1" x14ac:dyDescent="0.25">
      <c r="A52" s="113" t="s">
        <v>132</v>
      </c>
      <c r="B52" s="114"/>
      <c r="C52" s="114"/>
      <c r="D52" s="114"/>
      <c r="E52" s="114"/>
      <c r="F52" s="114"/>
      <c r="G52" s="114"/>
      <c r="H52" s="114"/>
      <c r="I52" s="114"/>
      <c r="J52" s="114"/>
      <c r="K52" s="114"/>
      <c r="L52" s="114"/>
      <c r="M52" s="115"/>
      <c r="N52" s="110"/>
      <c r="O52" s="116"/>
      <c r="P52" s="116"/>
      <c r="Q52" s="116"/>
      <c r="R52" s="116"/>
      <c r="S52" s="116"/>
      <c r="T52" s="116"/>
      <c r="U52" s="111"/>
      <c r="V52" s="110"/>
      <c r="W52" s="116"/>
      <c r="X52" s="116"/>
      <c r="Y52" s="116"/>
      <c r="Z52" s="116"/>
      <c r="AA52" s="111"/>
      <c r="AB52" s="110"/>
      <c r="AC52" s="111"/>
      <c r="AD52" s="110"/>
      <c r="AE52" s="111"/>
      <c r="AF52" s="110"/>
      <c r="AG52" s="111"/>
      <c r="AH52" s="110"/>
      <c r="AI52" s="111"/>
      <c r="AJ52" s="110"/>
      <c r="AK52" s="111"/>
      <c r="AL52" s="110"/>
      <c r="AM52" s="111"/>
      <c r="AN52" s="110"/>
      <c r="AO52" s="111"/>
      <c r="AP52" s="110"/>
      <c r="AQ52" s="111"/>
      <c r="AR52" s="104"/>
      <c r="AS52" s="105"/>
      <c r="AT52" s="105"/>
      <c r="AU52" s="105"/>
      <c r="AV52" s="105"/>
      <c r="AW52" s="105"/>
      <c r="AX52" s="105"/>
      <c r="AY52" s="105"/>
      <c r="AZ52" s="106"/>
    </row>
    <row r="53" spans="1:52" ht="14.55" customHeight="1" x14ac:dyDescent="0.25">
      <c r="A53" s="113" t="s">
        <v>133</v>
      </c>
      <c r="B53" s="114"/>
      <c r="C53" s="114"/>
      <c r="D53" s="114"/>
      <c r="E53" s="114"/>
      <c r="F53" s="114"/>
      <c r="G53" s="114"/>
      <c r="H53" s="114"/>
      <c r="I53" s="114"/>
      <c r="J53" s="114"/>
      <c r="K53" s="114"/>
      <c r="L53" s="114"/>
      <c r="M53" s="115"/>
      <c r="N53" s="110"/>
      <c r="O53" s="116"/>
      <c r="P53" s="116"/>
      <c r="Q53" s="116"/>
      <c r="R53" s="116"/>
      <c r="S53" s="116"/>
      <c r="T53" s="116"/>
      <c r="U53" s="111"/>
      <c r="V53" s="110"/>
      <c r="W53" s="116"/>
      <c r="X53" s="116"/>
      <c r="Y53" s="116"/>
      <c r="Z53" s="116"/>
      <c r="AA53" s="111"/>
      <c r="AB53" s="110"/>
      <c r="AC53" s="111"/>
      <c r="AD53" s="110"/>
      <c r="AE53" s="111"/>
      <c r="AF53" s="110"/>
      <c r="AG53" s="111"/>
      <c r="AH53" s="110"/>
      <c r="AI53" s="111"/>
      <c r="AJ53" s="110"/>
      <c r="AK53" s="111"/>
      <c r="AL53" s="110"/>
      <c r="AM53" s="111"/>
      <c r="AN53" s="110"/>
      <c r="AO53" s="111"/>
      <c r="AP53" s="110"/>
      <c r="AQ53" s="111"/>
      <c r="AR53" s="104"/>
      <c r="AS53" s="105"/>
      <c r="AT53" s="105"/>
      <c r="AU53" s="105"/>
      <c r="AV53" s="105"/>
      <c r="AW53" s="105"/>
      <c r="AX53" s="105"/>
      <c r="AY53" s="105"/>
      <c r="AZ53" s="106"/>
    </row>
    <row r="54" spans="1:52" ht="14.55" customHeight="1" x14ac:dyDescent="0.25">
      <c r="A54" s="113" t="s">
        <v>134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5"/>
      <c r="N54" s="110"/>
      <c r="O54" s="116"/>
      <c r="P54" s="116"/>
      <c r="Q54" s="116"/>
      <c r="R54" s="116"/>
      <c r="S54" s="116"/>
      <c r="T54" s="116"/>
      <c r="U54" s="111"/>
      <c r="V54" s="110"/>
      <c r="W54" s="116"/>
      <c r="X54" s="116"/>
      <c r="Y54" s="116"/>
      <c r="Z54" s="116"/>
      <c r="AA54" s="111"/>
      <c r="AB54" s="110"/>
      <c r="AC54" s="111"/>
      <c r="AD54" s="110"/>
      <c r="AE54" s="111"/>
      <c r="AF54" s="110"/>
      <c r="AG54" s="111"/>
      <c r="AH54" s="110"/>
      <c r="AI54" s="111"/>
      <c r="AJ54" s="110"/>
      <c r="AK54" s="111"/>
      <c r="AL54" s="110"/>
      <c r="AM54" s="111"/>
      <c r="AN54" s="110"/>
      <c r="AO54" s="111"/>
      <c r="AP54" s="112"/>
      <c r="AQ54" s="111"/>
      <c r="AR54" s="104"/>
      <c r="AS54" s="105"/>
      <c r="AT54" s="105"/>
      <c r="AU54" s="105"/>
      <c r="AV54" s="105"/>
      <c r="AW54" s="105"/>
      <c r="AX54" s="105"/>
      <c r="AY54" s="105"/>
      <c r="AZ54" s="106"/>
    </row>
    <row r="55" spans="1:52" ht="14.55" customHeight="1" x14ac:dyDescent="0.25">
      <c r="A55" s="107" t="s">
        <v>135</v>
      </c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9"/>
    </row>
  </sheetData>
  <mergeCells count="375">
    <mergeCell ref="N7:O7"/>
    <mergeCell ref="L17:O17"/>
    <mergeCell ref="AK13:AO13"/>
    <mergeCell ref="AP13:AZ13"/>
    <mergeCell ref="W16:AA16"/>
    <mergeCell ref="AB16:AC16"/>
    <mergeCell ref="AF16:AJ16"/>
    <mergeCell ref="AK16:AO16"/>
    <mergeCell ref="AP16:AZ16"/>
    <mergeCell ref="P7:T7"/>
    <mergeCell ref="U7:V7"/>
    <mergeCell ref="W7:AA7"/>
    <mergeCell ref="AP18:AZ18"/>
    <mergeCell ref="AB18:AC18"/>
    <mergeCell ref="V14:X14"/>
    <mergeCell ref="E9:AA9"/>
    <mergeCell ref="K3:N4"/>
    <mergeCell ref="O3:AZ4"/>
    <mergeCell ref="A5:AE5"/>
    <mergeCell ref="AF5:AZ5"/>
    <mergeCell ref="A6:B6"/>
    <mergeCell ref="A7:B7"/>
    <mergeCell ref="A1:J4"/>
    <mergeCell ref="K1:X1"/>
    <mergeCell ref="Y1:Z1"/>
    <mergeCell ref="C6:D12"/>
    <mergeCell ref="AM7:AZ7"/>
    <mergeCell ref="A8:B8"/>
    <mergeCell ref="E8:M8"/>
    <mergeCell ref="K2:N2"/>
    <mergeCell ref="A11:B11"/>
    <mergeCell ref="E11:AA11"/>
    <mergeCell ref="AB11:AC11"/>
    <mergeCell ref="O2:AZ2"/>
    <mergeCell ref="E6:AA6"/>
    <mergeCell ref="AB6:AC6"/>
    <mergeCell ref="AD6:AZ6"/>
    <mergeCell ref="AB7:AC7"/>
    <mergeCell ref="E7:M7"/>
    <mergeCell ref="A12:B12"/>
    <mergeCell ref="E12:AA12"/>
    <mergeCell ref="AB12:AC12"/>
    <mergeCell ref="AF12:AZ12"/>
    <mergeCell ref="AD7:AE12"/>
    <mergeCell ref="AF7:AL7"/>
    <mergeCell ref="AB9:AC9"/>
    <mergeCell ref="AF9:AM9"/>
    <mergeCell ref="AN9:AQ9"/>
    <mergeCell ref="AR9:AZ9"/>
    <mergeCell ref="A10:B10"/>
    <mergeCell ref="E10:AA10"/>
    <mergeCell ref="AB10:AC10"/>
    <mergeCell ref="AO10:AS10"/>
    <mergeCell ref="AT10:AZ10"/>
    <mergeCell ref="A9:B9"/>
    <mergeCell ref="N8:AA8"/>
    <mergeCell ref="AB8:AC8"/>
    <mergeCell ref="AF8:AP8"/>
    <mergeCell ref="AQ8:AZ8"/>
    <mergeCell ref="AF11:AZ11"/>
    <mergeCell ref="A14:B14"/>
    <mergeCell ref="E14:O14"/>
    <mergeCell ref="P14:Q14"/>
    <mergeCell ref="Y14:AA14"/>
    <mergeCell ref="AB14:AC14"/>
    <mergeCell ref="AK14:AO14"/>
    <mergeCell ref="AP14:AZ14"/>
    <mergeCell ref="A13:B13"/>
    <mergeCell ref="C13:D17"/>
    <mergeCell ref="E13:AA13"/>
    <mergeCell ref="AB13:AC13"/>
    <mergeCell ref="AD13:AE25"/>
    <mergeCell ref="AF13:AJ13"/>
    <mergeCell ref="A15:B15"/>
    <mergeCell ref="E15:Q15"/>
    <mergeCell ref="R15:V15"/>
    <mergeCell ref="W15:AA15"/>
    <mergeCell ref="AB15:AC15"/>
    <mergeCell ref="AF15:AJ15"/>
    <mergeCell ref="AK15:AO15"/>
    <mergeCell ref="AP15:AZ15"/>
    <mergeCell ref="A16:B16"/>
    <mergeCell ref="E16:M16"/>
    <mergeCell ref="N16:T16"/>
    <mergeCell ref="AF19:AO19"/>
    <mergeCell ref="AP19:AZ19"/>
    <mergeCell ref="S24:W24"/>
    <mergeCell ref="X24:AA24"/>
    <mergeCell ref="AB24:AC24"/>
    <mergeCell ref="X22:AA22"/>
    <mergeCell ref="A17:B17"/>
    <mergeCell ref="E17:K17"/>
    <mergeCell ref="P17:S17"/>
    <mergeCell ref="T17:W17"/>
    <mergeCell ref="X17:AA17"/>
    <mergeCell ref="AB17:AC17"/>
    <mergeCell ref="AF17:AO17"/>
    <mergeCell ref="AP17:AZ17"/>
    <mergeCell ref="R23:T23"/>
    <mergeCell ref="U23:W23"/>
    <mergeCell ref="AF21:AO21"/>
    <mergeCell ref="AP21:AZ21"/>
    <mergeCell ref="A18:B18"/>
    <mergeCell ref="C18:D29"/>
    <mergeCell ref="E18:AA18"/>
    <mergeCell ref="A22:B22"/>
    <mergeCell ref="O22:R22"/>
    <mergeCell ref="AF18:AO18"/>
    <mergeCell ref="V27:X27"/>
    <mergeCell ref="AB27:AC27"/>
    <mergeCell ref="E28:P28"/>
    <mergeCell ref="P26:W26"/>
    <mergeCell ref="X26:AA26"/>
    <mergeCell ref="AB26:AC26"/>
    <mergeCell ref="A19:B19"/>
    <mergeCell ref="E19:W19"/>
    <mergeCell ref="X19:AA19"/>
    <mergeCell ref="AB19:AC19"/>
    <mergeCell ref="AB21:AC21"/>
    <mergeCell ref="A21:B21"/>
    <mergeCell ref="E21:K21"/>
    <mergeCell ref="L21:P21"/>
    <mergeCell ref="Q21:U21"/>
    <mergeCell ref="V21:X21"/>
    <mergeCell ref="Y21:AA21"/>
    <mergeCell ref="E24:M25"/>
    <mergeCell ref="E22:N23"/>
    <mergeCell ref="AF27:AJ27"/>
    <mergeCell ref="AM25:AZ25"/>
    <mergeCell ref="AF25:AL25"/>
    <mergeCell ref="A20:B20"/>
    <mergeCell ref="E20:W20"/>
    <mergeCell ref="X20:AA20"/>
    <mergeCell ref="AB20:AC20"/>
    <mergeCell ref="AF20:AO20"/>
    <mergeCell ref="AP20:AZ20"/>
    <mergeCell ref="AP22:AZ22"/>
    <mergeCell ref="AR23:AZ23"/>
    <mergeCell ref="AF24:AL24"/>
    <mergeCell ref="AM24:AZ24"/>
    <mergeCell ref="A23:B23"/>
    <mergeCell ref="O23:Q23"/>
    <mergeCell ref="X23:AA23"/>
    <mergeCell ref="AB23:AC23"/>
    <mergeCell ref="AF23:AQ23"/>
    <mergeCell ref="A24:B24"/>
    <mergeCell ref="AP27:AZ27"/>
    <mergeCell ref="A26:B26"/>
    <mergeCell ref="E26:O26"/>
    <mergeCell ref="N24:R24"/>
    <mergeCell ref="N27:U27"/>
    <mergeCell ref="A33:B33"/>
    <mergeCell ref="E33:R33"/>
    <mergeCell ref="S33:W33"/>
    <mergeCell ref="X33:AA33"/>
    <mergeCell ref="AB33:AC33"/>
    <mergeCell ref="AF33:AP33"/>
    <mergeCell ref="AB22:AC22"/>
    <mergeCell ref="AF22:AO22"/>
    <mergeCell ref="AB25:AC25"/>
    <mergeCell ref="AB28:AC28"/>
    <mergeCell ref="A30:B30"/>
    <mergeCell ref="C30:D46"/>
    <mergeCell ref="E30:O30"/>
    <mergeCell ref="P30:R30"/>
    <mergeCell ref="S30:T30"/>
    <mergeCell ref="U30:X30"/>
    <mergeCell ref="A34:B34"/>
    <mergeCell ref="E34:R34"/>
    <mergeCell ref="Z30:AA30"/>
    <mergeCell ref="AB30:AC30"/>
    <mergeCell ref="AF26:AN26"/>
    <mergeCell ref="AO26:AZ26"/>
    <mergeCell ref="A27:B27"/>
    <mergeCell ref="E27:M27"/>
    <mergeCell ref="AF30:AO30"/>
    <mergeCell ref="AP30:AQ30"/>
    <mergeCell ref="AF32:AZ32"/>
    <mergeCell ref="AQ33:AR33"/>
    <mergeCell ref="AS33:AZ33"/>
    <mergeCell ref="AR30:AZ30"/>
    <mergeCell ref="AF31:AO31"/>
    <mergeCell ref="AP31:AQ31"/>
    <mergeCell ref="A25:B25"/>
    <mergeCell ref="N25:R25"/>
    <mergeCell ref="S25:W25"/>
    <mergeCell ref="X25:AA25"/>
    <mergeCell ref="AJ28:AO28"/>
    <mergeCell ref="AP28:AZ28"/>
    <mergeCell ref="A29:B29"/>
    <mergeCell ref="E29:P29"/>
    <mergeCell ref="Q29:AA29"/>
    <mergeCell ref="AB29:AC29"/>
    <mergeCell ref="AF29:AO29"/>
    <mergeCell ref="Q28:W28"/>
    <mergeCell ref="X28:AA28"/>
    <mergeCell ref="AP29:AQ29"/>
    <mergeCell ref="AR29:AZ29"/>
    <mergeCell ref="AK27:AO27"/>
    <mergeCell ref="AQ34:AR34"/>
    <mergeCell ref="AS34:AZ34"/>
    <mergeCell ref="A35:B35"/>
    <mergeCell ref="E35:R35"/>
    <mergeCell ref="S35:W35"/>
    <mergeCell ref="X35:AA35"/>
    <mergeCell ref="AB35:AC35"/>
    <mergeCell ref="AF35:AM35"/>
    <mergeCell ref="AN35:AZ35"/>
    <mergeCell ref="S34:W34"/>
    <mergeCell ref="X34:AA34"/>
    <mergeCell ref="AB34:AC34"/>
    <mergeCell ref="N32:O32"/>
    <mergeCell ref="P32:X32"/>
    <mergeCell ref="Z32:AA32"/>
    <mergeCell ref="AB32:AC32"/>
    <mergeCell ref="A31:B31"/>
    <mergeCell ref="E31:M31"/>
    <mergeCell ref="N31:O31"/>
    <mergeCell ref="P31:X31"/>
    <mergeCell ref="Z31:AA31"/>
    <mergeCell ref="AB31:AC31"/>
    <mergeCell ref="AN36:AZ36"/>
    <mergeCell ref="A37:B37"/>
    <mergeCell ref="E37:R37"/>
    <mergeCell ref="S37:W37"/>
    <mergeCell ref="X37:AA37"/>
    <mergeCell ref="AB37:AC37"/>
    <mergeCell ref="AF37:AI37"/>
    <mergeCell ref="AJ37:AK37"/>
    <mergeCell ref="AL37:AP37"/>
    <mergeCell ref="AQ37:AZ37"/>
    <mergeCell ref="A36:B36"/>
    <mergeCell ref="E36:R36"/>
    <mergeCell ref="S36:W36"/>
    <mergeCell ref="X36:AA36"/>
    <mergeCell ref="AB36:AC36"/>
    <mergeCell ref="AF36:AM36"/>
    <mergeCell ref="AD26:AE46"/>
    <mergeCell ref="A28:B28"/>
    <mergeCell ref="AR31:AZ31"/>
    <mergeCell ref="A32:B32"/>
    <mergeCell ref="E32:M32"/>
    <mergeCell ref="AL38:AP38"/>
    <mergeCell ref="AQ38:AZ38"/>
    <mergeCell ref="A39:B39"/>
    <mergeCell ref="E39:R39"/>
    <mergeCell ref="S39:W39"/>
    <mergeCell ref="X39:AA39"/>
    <mergeCell ref="AB39:AC39"/>
    <mergeCell ref="AJ39:AK39"/>
    <mergeCell ref="AL39:AU39"/>
    <mergeCell ref="AV39:AZ39"/>
    <mergeCell ref="A38:B38"/>
    <mergeCell ref="E38:R38"/>
    <mergeCell ref="S38:W38"/>
    <mergeCell ref="X38:AA38"/>
    <mergeCell ref="AB38:AC38"/>
    <mergeCell ref="AJ38:AK38"/>
    <mergeCell ref="AP40:AQ40"/>
    <mergeCell ref="AR40:AZ40"/>
    <mergeCell ref="A41:B41"/>
    <mergeCell ref="E41:R41"/>
    <mergeCell ref="S41:W41"/>
    <mergeCell ref="X41:AA41"/>
    <mergeCell ref="AB41:AC41"/>
    <mergeCell ref="AP41:AQ41"/>
    <mergeCell ref="AR41:AZ41"/>
    <mergeCell ref="A40:B40"/>
    <mergeCell ref="E40:R40"/>
    <mergeCell ref="S40:W40"/>
    <mergeCell ref="X40:AA40"/>
    <mergeCell ref="AB40:AC40"/>
    <mergeCell ref="AF40:AO40"/>
    <mergeCell ref="AN42:AP42"/>
    <mergeCell ref="AQ42:AZ42"/>
    <mergeCell ref="A43:B43"/>
    <mergeCell ref="AB43:AC43"/>
    <mergeCell ref="AK43:AP43"/>
    <mergeCell ref="AQ43:AZ43"/>
    <mergeCell ref="A42:B42"/>
    <mergeCell ref="E42:R42"/>
    <mergeCell ref="S42:W42"/>
    <mergeCell ref="X42:AA42"/>
    <mergeCell ref="AB42:AC42"/>
    <mergeCell ref="AF42:AM42"/>
    <mergeCell ref="A44:B44"/>
    <mergeCell ref="AB44:AC44"/>
    <mergeCell ref="AK44:AP44"/>
    <mergeCell ref="AQ44:AZ44"/>
    <mergeCell ref="A45:B45"/>
    <mergeCell ref="AB45:AC45"/>
    <mergeCell ref="AF45:AM45"/>
    <mergeCell ref="AN45:AO45"/>
    <mergeCell ref="AP45:AZ45"/>
    <mergeCell ref="AN46:AO46"/>
    <mergeCell ref="AP46:AZ46"/>
    <mergeCell ref="A47:AZ47"/>
    <mergeCell ref="A48:M49"/>
    <mergeCell ref="N48:AA48"/>
    <mergeCell ref="AB48:AQ48"/>
    <mergeCell ref="AR48:AZ49"/>
    <mergeCell ref="N49:U49"/>
    <mergeCell ref="AL49:AM49"/>
    <mergeCell ref="AN49:AO49"/>
    <mergeCell ref="AP49:AQ49"/>
    <mergeCell ref="AJ49:AK49"/>
    <mergeCell ref="AF50:AG50"/>
    <mergeCell ref="AH50:AI50"/>
    <mergeCell ref="V49:AA49"/>
    <mergeCell ref="AB49:AC49"/>
    <mergeCell ref="AD49:AE49"/>
    <mergeCell ref="AF49:AG49"/>
    <mergeCell ref="AH49:AI49"/>
    <mergeCell ref="A46:B46"/>
    <mergeCell ref="AB46:AC46"/>
    <mergeCell ref="AJ52:AK52"/>
    <mergeCell ref="AL52:AM52"/>
    <mergeCell ref="AJ50:AK50"/>
    <mergeCell ref="AL50:AM50"/>
    <mergeCell ref="AN50:AO50"/>
    <mergeCell ref="AP50:AQ50"/>
    <mergeCell ref="AR50:AZ50"/>
    <mergeCell ref="A51:M51"/>
    <mergeCell ref="N51:U51"/>
    <mergeCell ref="V51:AA51"/>
    <mergeCell ref="AB51:AC51"/>
    <mergeCell ref="AD51:AE51"/>
    <mergeCell ref="AR51:AZ51"/>
    <mergeCell ref="AF51:AG51"/>
    <mergeCell ref="AH51:AI51"/>
    <mergeCell ref="AJ51:AK51"/>
    <mergeCell ref="AL51:AM51"/>
    <mergeCell ref="AN51:AO51"/>
    <mergeCell ref="AP51:AQ51"/>
    <mergeCell ref="A50:M50"/>
    <mergeCell ref="N50:U50"/>
    <mergeCell ref="V50:AA50"/>
    <mergeCell ref="AB50:AC50"/>
    <mergeCell ref="AD50:AE50"/>
    <mergeCell ref="V53:AA53"/>
    <mergeCell ref="AB53:AC53"/>
    <mergeCell ref="AD53:AE53"/>
    <mergeCell ref="AF53:AG53"/>
    <mergeCell ref="AH53:AI53"/>
    <mergeCell ref="A52:M52"/>
    <mergeCell ref="N52:U52"/>
    <mergeCell ref="V52:AA52"/>
    <mergeCell ref="AB52:AC52"/>
    <mergeCell ref="AD52:AE52"/>
    <mergeCell ref="AF52:AG52"/>
    <mergeCell ref="AH52:AI52"/>
    <mergeCell ref="AA1:AZ1"/>
    <mergeCell ref="AR54:AZ54"/>
    <mergeCell ref="A55:AZ55"/>
    <mergeCell ref="AF54:AG54"/>
    <mergeCell ref="AH54:AI54"/>
    <mergeCell ref="AJ54:AK54"/>
    <mergeCell ref="AL54:AM54"/>
    <mergeCell ref="AN54:AO54"/>
    <mergeCell ref="AP54:AQ54"/>
    <mergeCell ref="AJ53:AK53"/>
    <mergeCell ref="AL53:AM53"/>
    <mergeCell ref="AN53:AO53"/>
    <mergeCell ref="AP53:AQ53"/>
    <mergeCell ref="AR53:AZ53"/>
    <mergeCell ref="A54:M54"/>
    <mergeCell ref="N54:U54"/>
    <mergeCell ref="V54:AA54"/>
    <mergeCell ref="AB54:AC54"/>
    <mergeCell ref="AD54:AE54"/>
    <mergeCell ref="AN52:AO52"/>
    <mergeCell ref="AP52:AQ52"/>
    <mergeCell ref="AR52:AZ52"/>
    <mergeCell ref="A53:M53"/>
    <mergeCell ref="N53:U53"/>
  </mergeCells>
  <printOptions horizontalCentered="1"/>
  <pageMargins left="0.39370078740157483" right="0.39370078740157483" top="0.78740157480314965" bottom="0.78740157480314965" header="0.31496062992125984" footer="0.31496062992125984"/>
  <pageSetup paperSize="9" scale="88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481d72a1-0c07-4ee4-a4a5-4b1621f6ccc9">
      <UserInfo>
        <DisplayName/>
        <AccountId xsi:nil="true"/>
        <AccountType/>
      </UserInfo>
    </SharedWithUsers>
    <Cliente xmlns="1b146853-cbf1-4f8c-b6d7-58284d252a4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12097B14-4F06-48BD-9368-A1B2840EC9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146853-cbf1-4f8c-b6d7-58284d252a43"/>
    <ds:schemaRef ds:uri="481d72a1-0c07-4ee4-a4a5-4b1621f6cc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0BBC290-64A0-418B-B035-B3B2E810AA73}">
  <ds:schemaRefs>
    <ds:schemaRef ds:uri="e4d7e4c3-b78f-4756-8feb-bf68a8958333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09800482-4cb0-41a3-85e1-23f7b0b2224e"/>
    <ds:schemaRef ds:uri="http://www.w3.org/XML/1998/namespace"/>
    <ds:schemaRef ds:uri="http://purl.org/dc/terms/"/>
    <ds:schemaRef ds:uri="http://schemas.microsoft.com/office/infopath/2007/PartnerControls"/>
    <ds:schemaRef ds:uri="http://purl.org/dc/dcmitype/"/>
    <ds:schemaRef ds:uri="481d72a1-0c07-4ee4-a4a5-4b1621f6ccc9"/>
    <ds:schemaRef ds:uri="1b146853-cbf1-4f8c-b6d7-58284d252a43"/>
  </ds:schemaRefs>
</ds:datastoreItem>
</file>

<file path=customXml/itemProps3.xml><?xml version="1.0" encoding="utf-8"?>
<ds:datastoreItem xmlns:ds="http://schemas.openxmlformats.org/officeDocument/2006/customXml" ds:itemID="{9BEB4432-DC52-4CD4-AAB3-18C2A2F7C83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3568335-6D40-4CB8-A6ED-82D684FCCE77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Config</vt:lpstr>
      <vt:lpstr>Capa</vt:lpstr>
      <vt:lpstr>Folhas</vt:lpstr>
      <vt:lpstr>Capa!Area_de_impressao</vt:lpstr>
      <vt:lpstr>Folhas!Area_de_impressao</vt:lpstr>
      <vt:lpstr>Capa!LogoClienteCapa</vt:lpstr>
      <vt:lpstr>Capa!LogoTechnikCapa</vt:lpstr>
      <vt:lpstr>LogoTechnikFolha</vt:lpstr>
      <vt:lpstr>NomeDoc</vt:lpstr>
      <vt:lpstr>Folhas!Titulos_de_impressao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Technik</dc:creator>
  <cp:lastModifiedBy>Hugo Lima</cp:lastModifiedBy>
  <cp:revision/>
  <cp:lastPrinted>2023-09-19T13:49:33Z</cp:lastPrinted>
  <dcterms:created xsi:type="dcterms:W3CDTF">2000-06-22T08:02:04Z</dcterms:created>
  <dcterms:modified xsi:type="dcterms:W3CDTF">2025-02-26T17:22:01Z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qw9d">
    <vt:lpwstr>1</vt:lpwstr>
  </property>
  <property fmtid="{D5CDD505-2E9C-101B-9397-08002B2CF9AE}" pid="3" name="Doc Type1">
    <vt:lpwstr>LST-Lists</vt:lpwstr>
  </property>
  <property fmtid="{D5CDD505-2E9C-101B-9397-08002B2CF9AE}" pid="4" name="DocTitle">
    <vt:lpwstr>EQUIPMENT LIST</vt:lpwstr>
  </property>
  <property fmtid="{D5CDD505-2E9C-101B-9397-08002B2CF9AE}" pid="5" name="DocNumber">
    <vt:lpwstr>UCT201-E-ME-LST-EQL-1001 NATIVE</vt:lpwstr>
  </property>
  <property fmtid="{D5CDD505-2E9C-101B-9397-08002B2CF9AE}" pid="6" name="Doc Type 1">
    <vt:lpwstr/>
  </property>
  <property fmtid="{D5CDD505-2E9C-101B-9397-08002B2CF9AE}" pid="7" name="Revision State">
    <vt:lpwstr/>
  </property>
  <property fmtid="{D5CDD505-2E9C-101B-9397-08002B2CF9AE}" pid="8" name="VendorDoc#">
    <vt:lpwstr/>
  </property>
  <property fmtid="{D5CDD505-2E9C-101B-9397-08002B2CF9AE}" pid="9" name="xu7h">
    <vt:lpwstr/>
  </property>
  <property fmtid="{D5CDD505-2E9C-101B-9397-08002B2CF9AE}" pid="10" name="Rev States">
    <vt:lpwstr/>
  </property>
  <property fmtid="{D5CDD505-2E9C-101B-9397-08002B2CF9AE}" pid="11" name="TaxCatchAll">
    <vt:lpwstr/>
  </property>
  <property fmtid="{D5CDD505-2E9C-101B-9397-08002B2CF9AE}" pid="12" name="Notes:">
    <vt:lpwstr/>
  </property>
  <property fmtid="{D5CDD505-2E9C-101B-9397-08002B2CF9AE}" pid="13" name="ClientDoc#">
    <vt:lpwstr/>
  </property>
  <property fmtid="{D5CDD505-2E9C-101B-9397-08002B2CF9AE}" pid="14" name="TaxKeywordTaxHTField">
    <vt:lpwstr/>
  </property>
  <property fmtid="{D5CDD505-2E9C-101B-9397-08002B2CF9AE}" pid="15" name="q9jt">
    <vt:lpwstr/>
  </property>
  <property fmtid="{D5CDD505-2E9C-101B-9397-08002B2CF9AE}" pid="16" name="Rev State">
    <vt:lpwstr/>
  </property>
  <property fmtid="{D5CDD505-2E9C-101B-9397-08002B2CF9AE}" pid="17" name="Rev Number Test">
    <vt:lpwstr/>
  </property>
  <property fmtid="{D5CDD505-2E9C-101B-9397-08002B2CF9AE}" pid="18" name="ContentTypeId">
    <vt:lpwstr>0x0101009039DBD687C496499E8079BFA864F9E5</vt:lpwstr>
  </property>
  <property fmtid="{D5CDD505-2E9C-101B-9397-08002B2CF9AE}" pid="19" name="MediaServiceImageTags">
    <vt:lpwstr/>
  </property>
</Properties>
</file>