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C026B480-071E-DA80-A48C-D3F380F32C35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ae86ac8ea500c045/Documentos/GitHub/-Lista-de-Itens-para-Folha-de-dados/server/excel/"/>
    </mc:Choice>
  </mc:AlternateContent>
  <xr:revisionPtr revIDLastSave="326" documentId="8_{3726A427-0AED-4F39-A250-C9850025A61B}" xr6:coauthVersionLast="47" xr6:coauthVersionMax="47" xr10:uidLastSave="{CC324E8D-F8CF-4399-A4C5-D06691CF4D80}"/>
  <bookViews>
    <workbookView xWindow="-108" yWindow="-108" windowWidth="23256" windowHeight="12456" tabRatio="613" firstSheet="1" activeTab="2" xr2:uid="{00000000-000D-0000-FFFF-FFFF00000000}"/>
  </bookViews>
  <sheets>
    <sheet name="Config" sheetId="25" state="hidden" r:id="rId1"/>
    <sheet name="Capa" sheetId="3" r:id="rId2"/>
    <sheet name="Folhas" sheetId="24" r:id="rId3"/>
  </sheets>
  <externalReferences>
    <externalReference r:id="rId4"/>
  </externalReferences>
  <definedNames>
    <definedName name="_xlnm.Print_Area" localSheetId="1">Capa!$A$1:$O$95</definedName>
    <definedName name="_xlnm.Print_Area" localSheetId="2">Folhas!$A$1:$U$48</definedName>
    <definedName name="CAPIA">[1]FD1!#REF!</definedName>
    <definedName name="LogoClienteCapa">Capa!$A$1:$C$4</definedName>
    <definedName name="LogoTechnikCapa">Capa!$A$5:$C$8</definedName>
    <definedName name="LogoTechnikFolha" localSheetId="2">Folhas!$A$1:$C$4</definedName>
    <definedName name="NomeDoc">Capa!$J$1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4" l="1"/>
  <c r="A1" i="3"/>
  <c r="A5" i="3"/>
  <c r="D92" i="3"/>
  <c r="D93" i="3" a="1"/>
  <c r="D93" i="3" s="1"/>
  <c r="J1" i="3"/>
  <c r="L1" i="24"/>
  <c r="E5" i="3"/>
  <c r="E3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<sst xmlns="http://schemas.openxmlformats.org/spreadsheetml/2006/main" count="80" uniqueCount="79">
  <si>
    <t>FOLHA DE DADOS</t>
  </si>
  <si>
    <r>
      <t xml:space="preserve">CLIENTE
</t>
    </r>
    <r>
      <rPr>
        <i/>
        <sz val="8"/>
        <rFont val="Arial"/>
        <family val="2"/>
      </rPr>
      <t>Client</t>
    </r>
  </si>
  <si>
    <r>
      <t xml:space="preserve">UNIDADE
</t>
    </r>
    <r>
      <rPr>
        <i/>
        <sz val="8"/>
        <rFont val="Arial"/>
        <family val="2"/>
      </rPr>
      <t>Plant</t>
    </r>
  </si>
  <si>
    <r>
      <t xml:space="preserve">ÁREA
</t>
    </r>
    <r>
      <rPr>
        <i/>
        <sz val="8"/>
        <rFont val="Arial"/>
        <family val="2"/>
      </rPr>
      <t>Area</t>
    </r>
  </si>
  <si>
    <t>TANCADO</t>
  </si>
  <si>
    <t>CENTRO DE ENGENHARIA TECHNIK</t>
  </si>
  <si>
    <r>
      <t xml:space="preserve">TÍTULO
</t>
    </r>
    <r>
      <rPr>
        <i/>
        <sz val="8"/>
        <rFont val="Arial"/>
        <family val="2"/>
      </rPr>
      <t>Title</t>
    </r>
  </si>
  <si>
    <r>
      <t xml:space="preserve">ÍNDICE DE REVISÕES / </t>
    </r>
    <r>
      <rPr>
        <i/>
        <sz val="11"/>
        <color indexed="8"/>
        <rFont val="Arial"/>
        <family val="2"/>
      </rPr>
      <t>INDEX OF REVIEW</t>
    </r>
  </si>
  <si>
    <t>REV</t>
  </si>
  <si>
    <r>
      <t xml:space="preserve">DESCRIÇÃO E/OU FOLHAS ATINGIDAS / </t>
    </r>
    <r>
      <rPr>
        <i/>
        <sz val="10"/>
        <color indexed="8"/>
        <rFont val="Arial"/>
        <family val="2"/>
      </rPr>
      <t>DESCRIPTION</t>
    </r>
  </si>
  <si>
    <t>0</t>
  </si>
  <si>
    <t>NOTAS GERAIS / General notes</t>
  </si>
  <si>
    <r>
      <t xml:space="preserve">REVISÃO / </t>
    </r>
    <r>
      <rPr>
        <i/>
        <sz val="8"/>
        <rFont val="Arial"/>
        <family val="2"/>
      </rPr>
      <t>Revision</t>
    </r>
  </si>
  <si>
    <r>
      <t xml:space="preserve">DATA / </t>
    </r>
    <r>
      <rPr>
        <i/>
        <sz val="8"/>
        <rFont val="Arial"/>
        <family val="2"/>
      </rPr>
      <t>Date</t>
    </r>
  </si>
  <si>
    <r>
      <t xml:space="preserve">PROJETO / </t>
    </r>
    <r>
      <rPr>
        <i/>
        <sz val="8"/>
        <rFont val="Arial"/>
        <family val="2"/>
      </rPr>
      <t>Project</t>
    </r>
  </si>
  <si>
    <r>
      <t xml:space="preserve">REALIZADO / </t>
    </r>
    <r>
      <rPr>
        <i/>
        <sz val="8"/>
        <rFont val="Arial"/>
        <family val="2"/>
      </rPr>
      <t>Prepared by</t>
    </r>
  </si>
  <si>
    <r>
      <t xml:space="preserve">APROVAÇÃO / </t>
    </r>
    <r>
      <rPr>
        <i/>
        <sz val="8"/>
        <rFont val="Arial"/>
        <family val="2"/>
      </rPr>
      <t>Approved by</t>
    </r>
  </si>
  <si>
    <t>MCM</t>
  </si>
  <si>
    <t>Nº.:</t>
  </si>
  <si>
    <t>ÁREA:</t>
  </si>
  <si>
    <t>Area</t>
  </si>
  <si>
    <t>Identification (TAG)</t>
  </si>
  <si>
    <t>Description</t>
  </si>
  <si>
    <t>GENERAL</t>
  </si>
  <si>
    <t>Model</t>
  </si>
  <si>
    <t>Manufacturer</t>
  </si>
  <si>
    <t>Provider</t>
  </si>
  <si>
    <t>Application</t>
  </si>
  <si>
    <t>Process Fluid</t>
  </si>
  <si>
    <t>Ambient temperature</t>
  </si>
  <si>
    <t>Materials of Constructions</t>
  </si>
  <si>
    <t>Process connections size/type</t>
  </si>
  <si>
    <t>Product Certifications</t>
  </si>
  <si>
    <t>Sensor Fail</t>
  </si>
  <si>
    <t>Electrical Connection</t>
  </si>
  <si>
    <t>SENSOR</t>
  </si>
  <si>
    <t>Operating voltage (V)</t>
  </si>
  <si>
    <t>Output signal</t>
  </si>
  <si>
    <t>Analog current output (mA)</t>
  </si>
  <si>
    <t>Max. load (Ω)</t>
  </si>
  <si>
    <t>Protection class</t>
  </si>
  <si>
    <t>Material</t>
  </si>
  <si>
    <t>ACESSORIES</t>
  </si>
  <si>
    <t>Process connection</t>
  </si>
  <si>
    <t>Connection</t>
  </si>
  <si>
    <t>-</t>
  </si>
  <si>
    <t>OPERATIONAL DATA</t>
  </si>
  <si>
    <t>Process variables</t>
  </si>
  <si>
    <t>minimum</t>
  </si>
  <si>
    <t>normal</t>
  </si>
  <si>
    <t>maximum</t>
  </si>
  <si>
    <t>Fluid</t>
  </si>
  <si>
    <t>Density (kg/m³)</t>
  </si>
  <si>
    <t>Viscosity (cP)</t>
  </si>
  <si>
    <t>Temperature (°C)</t>
  </si>
  <si>
    <t>Liquid Column (m)</t>
  </si>
  <si>
    <t>Flow (m³/h)</t>
  </si>
  <si>
    <t>pH</t>
  </si>
  <si>
    <t>NOTES</t>
  </si>
  <si>
    <t>Local Indicator</t>
  </si>
  <si>
    <t>JMJ</t>
  </si>
  <si>
    <t>Pressure (kgf/cm²g)</t>
  </si>
  <si>
    <t>TRANSMISSOR DE TEMPERATURA</t>
  </si>
  <si>
    <t>Material protection tube</t>
  </si>
  <si>
    <t>Size of thermowell</t>
  </si>
  <si>
    <t xml:space="preserve">Installation </t>
  </si>
  <si>
    <t>PARA COMENTÁRIOS</t>
  </si>
  <si>
    <t>FOLHA DE DADOS DE TRANSMISSORES</t>
  </si>
  <si>
    <t>id</t>
  </si>
  <si>
    <t>logoCliente</t>
  </si>
  <si>
    <t>nomeCliente</t>
  </si>
  <si>
    <t>numProjeto</t>
  </si>
  <si>
    <t>cidadeCliente</t>
  </si>
  <si>
    <t>siglaProjeto</t>
  </si>
  <si>
    <t>solicitante</t>
  </si>
  <si>
    <t>responsavelTecnico</t>
  </si>
  <si>
    <t>servico</t>
  </si>
  <si>
    <t>N°</t>
  </si>
  <si>
    <t>https://technikgrupo.sharepoint.com/sites/transfer/Logos/Technik.png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</si>
</sst>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name val="Arial"/>
    </font>
    <font>
      <b/>
      <sz val="10"/>
      <name val="Arial"/>
      <family val="2"/>
    </font>
    <font>
      <sz val="1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i/>
      <sz val="8"/>
      <name val="Arial"/>
      <family val="2"/>
    </font>
    <font>
      <b/>
      <sz val="8"/>
      <name val="Arial"/>
      <family val="2"/>
    </font>
    <font>
      <b/>
      <sz val="11"/>
      <name val="Arial"/>
      <family val="2"/>
    </font>
    <font>
      <sz val="11"/>
      <color rgb="FF000000"/>
      <name val="Arial"/>
      <family val="2"/>
    </font>
    <font>
      <i/>
      <sz val="11"/>
      <color indexed="8"/>
      <name val="Arial"/>
      <family val="2"/>
    </font>
    <font>
      <sz val="10"/>
      <color rgb="FF000000"/>
      <name val="Arial"/>
      <family val="2"/>
    </font>
    <font>
      <i/>
      <sz val="10"/>
      <color indexed="8"/>
      <name val="Arial"/>
      <family val="2"/>
    </font>
    <font>
      <sz val="8"/>
      <color rgb="FF000000"/>
      <name val="Arial"/>
      <family val="2"/>
    </font>
    <font>
      <sz val="6"/>
      <name val="Arial"/>
      <family val="2"/>
    </font>
  </fonts>
  <fills count="2">
    <fill>
      <patternFill patternType="none"/>
    </fill>
    <fill>
      <patternFill patternType="gray125"/>
    </fill>
  </fills>
  <borders count="6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3" fillId="0" borderId="0"/>
  </cellStyleXfs>
  <cellXfs count="203">
    <xf numFmtId="0" fontId="0" fillId="0" borderId="0" xfId="0"/>
    <xf numFmtId="0" fontId="4" fillId="0" borderId="16" xfId="1" applyFont="1" applyBorder="1" applyAlignment="1">
      <alignment horizontal="center" vertical="center"/>
    </xf>
    <xf numFmtId="14" fontId="4" fillId="0" borderId="16" xfId="1" applyNumberFormat="1" applyFont="1" applyBorder="1" applyAlignment="1">
      <alignment horizontal="center" vertical="center"/>
    </xf>
    <xf numFmtId="0" fontId="4" fillId="0" borderId="17" xfId="1" applyFont="1" applyBorder="1" applyAlignment="1">
      <alignment horizontal="center" vertical="center"/>
    </xf>
    <xf numFmtId="0" fontId="4" fillId="0" borderId="16" xfId="1" applyFont="1" applyBorder="1" applyAlignment="1">
      <alignment vertical="center"/>
    </xf>
    <xf numFmtId="0" fontId="4" fillId="0" borderId="17" xfId="1" applyFont="1" applyBorder="1" applyAlignment="1">
      <alignment vertical="center"/>
    </xf>
    <xf numFmtId="14" fontId="4" fillId="0" borderId="39" xfId="1" applyNumberFormat="1" applyFont="1" applyBorder="1" applyAlignment="1">
      <alignment horizontal="center" vertical="center"/>
    </xf>
    <xf numFmtId="0" fontId="4" fillId="0" borderId="39" xfId="1" applyFont="1" applyBorder="1" applyAlignment="1">
      <alignment vertical="center"/>
    </xf>
    <xf numFmtId="0" fontId="4" fillId="0" borderId="40" xfId="1" applyFont="1" applyBorder="1" applyAlignment="1">
      <alignment vertical="center"/>
    </xf>
    <xf numFmtId="0" fontId="3" fillId="0" borderId="0" xfId="1"/>
    <xf numFmtId="0" fontId="14" fillId="0" borderId="13" xfId="0" applyFont="1" applyBorder="1" applyAlignment="1">
      <alignment vertical="top"/>
    </xf>
    <xf numFmtId="0" fontId="14" fillId="0" borderId="27" xfId="0" applyFont="1" applyBorder="1" applyAlignment="1">
      <alignment vertical="top"/>
    </xf>
    <xf numFmtId="0" fontId="0" fillId="0" borderId="16" xfId="0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27" xfId="1" applyFont="1" applyBorder="1" applyAlignment="1">
      <alignment horizontal="center" vertical="center"/>
    </xf>
    <xf numFmtId="49" fontId="4" fillId="0" borderId="16" xfId="1" applyNumberFormat="1" applyFont="1" applyBorder="1" applyAlignment="1">
      <alignment horizontal="center" vertical="center"/>
    </xf>
    <xf numFmtId="0" fontId="4" fillId="0" borderId="27" xfId="1" applyFont="1" applyBorder="1" applyAlignment="1">
      <alignment vertical="center"/>
    </xf>
    <xf numFmtId="0" fontId="4" fillId="0" borderId="34" xfId="1" applyFont="1" applyBorder="1" applyAlignment="1">
      <alignment vertical="center"/>
    </xf>
    <xf numFmtId="0" fontId="0" fillId="0" borderId="6" xfId="0" applyBorder="1"/>
    <xf numFmtId="0" fontId="4" fillId="0" borderId="0" xfId="1" applyFont="1" applyAlignment="1">
      <alignment vertical="center"/>
    </xf>
    <xf numFmtId="0" fontId="13" fillId="0" borderId="5" xfId="1" applyFont="1" applyBorder="1" applyAlignment="1">
      <alignment horizontal="center" vertical="center" wrapText="1"/>
    </xf>
    <xf numFmtId="0" fontId="13" fillId="0" borderId="0" xfId="1" applyFont="1" applyAlignment="1">
      <alignment horizontal="left" vertical="center" wrapText="1"/>
    </xf>
    <xf numFmtId="0" fontId="4" fillId="0" borderId="0" xfId="1" applyFont="1" applyAlignment="1">
      <alignment vertical="center"/>
    </xf>
    <xf numFmtId="0" fontId="4" fillId="0" borderId="18" xfId="1" applyFont="1" applyBorder="1" applyAlignment="1">
      <alignment horizontal="left" vertical="center"/>
    </xf>
    <xf numFmtId="0" fontId="4" fillId="0" borderId="35" xfId="1" applyFont="1" applyBorder="1" applyAlignment="1">
      <alignment horizontal="left" vertical="center"/>
    </xf>
    <xf numFmtId="0" fontId="4" fillId="0" borderId="44" xfId="1" applyFont="1" applyBorder="1" applyAlignment="1">
      <alignment horizontal="left" vertical="center"/>
    </xf>
    <xf numFmtId="0" fontId="4" fillId="0" borderId="32" xfId="1" applyFont="1" applyBorder="1" applyAlignment="1">
      <alignment horizontal="left" vertical="center"/>
    </xf>
    <xf numFmtId="0" fontId="4" fillId="0" borderId="28" xfId="1" applyFont="1" applyBorder="1" applyAlignment="1">
      <alignment horizontal="left" vertical="center"/>
    </xf>
    <xf numFmtId="0" fontId="4" fillId="0" borderId="33" xfId="1" applyFont="1" applyBorder="1" applyAlignment="1">
      <alignment horizontal="left" vertical="center"/>
    </xf>
    <xf numFmtId="0" fontId="9" fillId="0" borderId="1" xfId="1" applyFont="1" applyBorder="1" applyAlignment="1">
      <alignment horizontal="center" vertical="center" wrapText="1"/>
    </xf>
    <xf numFmtId="0" fontId="9" fillId="0" borderId="3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9" fillId="0" borderId="7" xfId="1" applyFont="1" applyBorder="1" applyAlignment="1">
      <alignment horizontal="center" vertical="center" wrapText="1"/>
    </xf>
    <xf numFmtId="0" fontId="9" fillId="0" borderId="8" xfId="1" applyFont="1" applyBorder="1" applyAlignment="1">
      <alignment horizontal="center" vertical="center" wrapText="1"/>
    </xf>
    <xf numFmtId="0" fontId="9" fillId="0" borderId="9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0" borderId="49" xfId="1" applyFont="1" applyBorder="1" applyAlignment="1">
      <alignment horizontal="center" vertical="center"/>
    </xf>
    <xf numFmtId="0" fontId="4" fillId="0" borderId="50" xfId="1" applyFont="1" applyBorder="1" applyAlignment="1">
      <alignment horizontal="center" vertical="center"/>
    </xf>
    <xf numFmtId="49" fontId="4" fillId="0" borderId="27" xfId="1" applyNumberFormat="1" applyFont="1" applyBorder="1" applyAlignment="1">
      <alignment horizontal="left" vertical="top" wrapText="1"/>
    </xf>
    <xf numFmtId="49" fontId="4" fillId="0" borderId="27" xfId="1" applyNumberFormat="1" applyFont="1" applyBorder="1" applyAlignment="1">
      <alignment horizontal="left" vertical="top"/>
    </xf>
    <xf numFmtId="49" fontId="5" fillId="0" borderId="25" xfId="1" applyNumberFormat="1" applyFont="1" applyBorder="1" applyAlignment="1">
      <alignment horizontal="center" vertical="center"/>
    </xf>
    <xf numFmtId="49" fontId="5" fillId="0" borderId="16" xfId="1" applyNumberFormat="1" applyFont="1" applyBorder="1" applyAlignment="1">
      <alignment horizontal="center" vertical="center"/>
    </xf>
    <xf numFmtId="49" fontId="5" fillId="0" borderId="64" xfId="1" applyNumberFormat="1" applyFont="1" applyBorder="1" applyAlignment="1">
      <alignment horizontal="center" vertical="center"/>
    </xf>
    <xf numFmtId="49" fontId="2" fillId="0" borderId="45" xfId="1" applyNumberFormat="1" applyFont="1" applyBorder="1" applyAlignment="1">
      <alignment horizontal="left" vertical="top"/>
    </xf>
    <xf numFmtId="49" fontId="2" fillId="0" borderId="65" xfId="1" applyNumberFormat="1" applyFont="1" applyBorder="1" applyAlignment="1">
      <alignment horizontal="left" vertical="top"/>
    </xf>
    <xf numFmtId="0" fontId="3" fillId="0" borderId="3" xfId="1" applyBorder="1" applyAlignment="1">
      <alignment horizontal="center" vertical="center"/>
    </xf>
    <xf numFmtId="0" fontId="3" fillId="0" borderId="2" xfId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3" fillId="0" borderId="6" xfId="1" applyBorder="1" applyAlignment="1">
      <alignment horizontal="center" vertical="center"/>
    </xf>
    <xf numFmtId="0" fontId="3" fillId="0" borderId="19" xfId="1" applyBorder="1" applyAlignment="1">
      <alignment horizontal="center" vertical="center"/>
    </xf>
    <xf numFmtId="0" fontId="3" fillId="0" borderId="22" xfId="1" applyBorder="1" applyAlignment="1">
      <alignment horizontal="center" vertical="center"/>
    </xf>
    <xf numFmtId="0" fontId="3" fillId="0" borderId="47" xfId="1" applyBorder="1" applyAlignment="1">
      <alignment horizontal="center" vertical="center"/>
    </xf>
    <xf numFmtId="0" fontId="3" fillId="0" borderId="48" xfId="1" applyBorder="1" applyAlignment="1">
      <alignment horizontal="center" vertical="center"/>
    </xf>
    <xf numFmtId="49" fontId="8" fillId="0" borderId="19" xfId="1" applyNumberFormat="1" applyFont="1" applyBorder="1" applyAlignment="1">
      <alignment horizontal="center" vertical="center"/>
    </xf>
    <xf numFmtId="49" fontId="8" fillId="0" borderId="22" xfId="1" applyNumberFormat="1" applyFont="1" applyBorder="1" applyAlignment="1">
      <alignment horizontal="center" vertical="center"/>
    </xf>
    <xf numFmtId="49" fontId="8" fillId="0" borderId="0" xfId="1" applyNumberFormat="1" applyFont="1" applyAlignment="1">
      <alignment horizontal="center" vertical="center"/>
    </xf>
    <xf numFmtId="49" fontId="8" fillId="0" borderId="6" xfId="1" applyNumberFormat="1" applyFont="1" applyBorder="1" applyAlignment="1">
      <alignment horizontal="center" vertical="center"/>
    </xf>
    <xf numFmtId="49" fontId="9" fillId="0" borderId="66" xfId="1" applyNumberFormat="1" applyFont="1" applyBorder="1" applyAlignment="1">
      <alignment horizontal="center" vertical="center" wrapText="1"/>
    </xf>
    <xf numFmtId="49" fontId="9" fillId="0" borderId="19" xfId="1" applyNumberFormat="1" applyFont="1" applyBorder="1" applyAlignment="1">
      <alignment horizontal="center" vertical="center" wrapText="1"/>
    </xf>
    <xf numFmtId="49" fontId="9" fillId="0" borderId="22" xfId="1" applyNumberFormat="1" applyFont="1" applyBorder="1" applyAlignment="1">
      <alignment horizontal="center" vertical="center" wrapText="1"/>
    </xf>
    <xf numFmtId="49" fontId="9" fillId="0" borderId="59" xfId="1" applyNumberFormat="1" applyFont="1" applyBorder="1" applyAlignment="1">
      <alignment horizontal="center" vertical="center" wrapText="1"/>
    </xf>
    <xf numFmtId="49" fontId="9" fillId="0" borderId="47" xfId="1" applyNumberFormat="1" applyFont="1" applyBorder="1" applyAlignment="1">
      <alignment horizontal="center" vertical="center" wrapText="1"/>
    </xf>
    <xf numFmtId="49" fontId="9" fillId="0" borderId="48" xfId="1" applyNumberFormat="1" applyFont="1" applyBorder="1" applyAlignment="1">
      <alignment horizontal="center" vertical="center" wrapText="1"/>
    </xf>
    <xf numFmtId="49" fontId="11" fillId="0" borderId="21" xfId="1" applyNumberFormat="1" applyFont="1" applyBorder="1" applyAlignment="1">
      <alignment horizontal="center" vertical="center" wrapText="1"/>
    </xf>
    <xf numFmtId="49" fontId="11" fillId="0" borderId="19" xfId="1" applyNumberFormat="1" applyFont="1" applyBorder="1" applyAlignment="1">
      <alignment horizontal="center" vertical="center" wrapText="1"/>
    </xf>
    <xf numFmtId="49" fontId="11" fillId="0" borderId="22" xfId="1" applyNumberFormat="1" applyFont="1" applyBorder="1" applyAlignment="1">
      <alignment horizontal="center" vertical="center" wrapText="1"/>
    </xf>
    <xf numFmtId="49" fontId="11" fillId="0" borderId="46" xfId="1" applyNumberFormat="1" applyFont="1" applyBorder="1" applyAlignment="1">
      <alignment horizontal="center" vertical="center" wrapText="1"/>
    </xf>
    <xf numFmtId="49" fontId="11" fillId="0" borderId="47" xfId="1" applyNumberFormat="1" applyFont="1" applyBorder="1" applyAlignment="1">
      <alignment horizontal="center" vertical="center" wrapText="1"/>
    </xf>
    <xf numFmtId="49" fontId="11" fillId="0" borderId="48" xfId="1" applyNumberFormat="1" applyFont="1" applyBorder="1" applyAlignment="1">
      <alignment horizontal="center" vertical="center" wrapText="1"/>
    </xf>
    <xf numFmtId="0" fontId="4" fillId="0" borderId="51" xfId="1" applyFont="1" applyBorder="1" applyAlignment="1">
      <alignment horizontal="center" vertical="center"/>
    </xf>
    <xf numFmtId="0" fontId="4" fillId="0" borderId="52" xfId="1" applyFont="1" applyBorder="1" applyAlignment="1">
      <alignment horizontal="center" vertical="center"/>
    </xf>
    <xf numFmtId="0" fontId="4" fillId="0" borderId="53" xfId="1" applyFont="1" applyBorder="1" applyAlignment="1">
      <alignment horizontal="center" vertical="center"/>
    </xf>
    <xf numFmtId="0" fontId="4" fillId="0" borderId="54" xfId="1" applyFont="1" applyBorder="1" applyAlignment="1">
      <alignment horizontal="center" vertical="center"/>
    </xf>
    <xf numFmtId="0" fontId="4" fillId="0" borderId="55" xfId="1" applyFont="1" applyBorder="1" applyAlignment="1">
      <alignment horizontal="center" vertical="center"/>
    </xf>
    <xf numFmtId="49" fontId="7" fillId="0" borderId="51" xfId="1" applyNumberFormat="1" applyFont="1" applyBorder="1" applyAlignment="1">
      <alignment horizontal="center" vertical="center" wrapText="1"/>
    </xf>
    <xf numFmtId="49" fontId="7" fillId="0" borderId="52" xfId="1" applyNumberFormat="1" applyFont="1" applyBorder="1" applyAlignment="1">
      <alignment horizontal="center" vertical="center" wrapText="1"/>
    </xf>
    <xf numFmtId="49" fontId="7" fillId="0" borderId="53" xfId="1" applyNumberFormat="1" applyFont="1" applyBorder="1" applyAlignment="1">
      <alignment horizontal="center" vertical="center" wrapText="1"/>
    </xf>
    <xf numFmtId="49" fontId="7" fillId="0" borderId="5" xfId="1" applyNumberFormat="1" applyFont="1" applyBorder="1" applyAlignment="1">
      <alignment horizontal="center" vertical="center" wrapText="1"/>
    </xf>
    <xf numFmtId="49" fontId="7" fillId="0" borderId="0" xfId="1" applyNumberFormat="1" applyFont="1" applyAlignment="1">
      <alignment horizontal="center" vertical="center" wrapText="1"/>
    </xf>
    <xf numFmtId="49" fontId="7" fillId="0" borderId="54" xfId="1" applyNumberFormat="1" applyFont="1" applyBorder="1" applyAlignment="1">
      <alignment horizontal="center" vertical="center" wrapText="1"/>
    </xf>
    <xf numFmtId="49" fontId="4" fillId="0" borderId="21" xfId="1" applyNumberFormat="1" applyFont="1" applyBorder="1" applyAlignment="1">
      <alignment horizontal="left" vertical="top"/>
    </xf>
    <xf numFmtId="49" fontId="11" fillId="0" borderId="57" xfId="1" applyNumberFormat="1" applyFont="1" applyBorder="1" applyAlignment="1">
      <alignment horizontal="center" vertical="center" wrapText="1"/>
    </xf>
    <xf numFmtId="49" fontId="11" fillId="0" borderId="38" xfId="1" applyNumberFormat="1" applyFont="1" applyBorder="1" applyAlignment="1">
      <alignment horizontal="center" vertical="center" wrapText="1"/>
    </xf>
    <xf numFmtId="0" fontId="3" fillId="0" borderId="16" xfId="0" quotePrefix="1" applyFont="1" applyBorder="1" applyAlignment="1">
      <alignment horizontal="center" wrapText="1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3" fillId="0" borderId="15" xfId="0" applyFont="1" applyBorder="1" applyAlignment="1">
      <alignment horizontal="left"/>
    </xf>
    <xf numFmtId="0" fontId="0" fillId="0" borderId="16" xfId="0" applyBorder="1" applyAlignment="1">
      <alignment horizontal="left"/>
    </xf>
    <xf numFmtId="0" fontId="3" fillId="0" borderId="4" xfId="0" applyFont="1" applyBorder="1" applyAlignment="1">
      <alignment horizontal="center" vertical="center" textRotation="90"/>
    </xf>
    <xf numFmtId="0" fontId="0" fillId="0" borderId="37" xfId="0" applyBorder="1" applyAlignment="1">
      <alignment horizontal="center" vertical="center" textRotation="90"/>
    </xf>
    <xf numFmtId="0" fontId="0" fillId="0" borderId="62" xfId="0" applyBorder="1" applyAlignment="1">
      <alignment horizontal="center" vertical="center" textRotation="90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49" fontId="3" fillId="0" borderId="25" xfId="0" applyNumberFormat="1" applyFon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36" xfId="0" applyNumberFormat="1" applyBorder="1" applyAlignment="1">
      <alignment horizontal="center"/>
    </xf>
    <xf numFmtId="0" fontId="0" fillId="0" borderId="15" xfId="0" applyBorder="1" applyAlignment="1">
      <alignment horizontal="left"/>
    </xf>
    <xf numFmtId="49" fontId="3" fillId="0" borderId="16" xfId="0" applyNumberFormat="1" applyFon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3" fillId="0" borderId="33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38" xfId="0" applyBorder="1" applyAlignment="1">
      <alignment horizontal="left"/>
    </xf>
    <xf numFmtId="0" fontId="0" fillId="0" borderId="39" xfId="0" applyBorder="1" applyAlignment="1">
      <alignment horizontal="left"/>
    </xf>
    <xf numFmtId="49" fontId="3" fillId="0" borderId="39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0" fontId="3" fillId="0" borderId="34" xfId="0" applyFont="1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44" xfId="0" applyFont="1" applyBorder="1" applyAlignment="1">
      <alignment horizontal="center"/>
    </xf>
    <xf numFmtId="0" fontId="3" fillId="0" borderId="63" xfId="0" applyFont="1" applyBorder="1" applyAlignment="1">
      <alignment horizontal="center"/>
    </xf>
    <xf numFmtId="0" fontId="3" fillId="0" borderId="43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3" fillId="0" borderId="37" xfId="0" applyFont="1" applyBorder="1" applyAlignment="1">
      <alignment horizontal="center" vertical="center" textRotation="90"/>
    </xf>
    <xf numFmtId="0" fontId="3" fillId="0" borderId="62" xfId="0" applyFont="1" applyBorder="1" applyAlignment="1">
      <alignment horizontal="center" vertical="center" textRotation="90"/>
    </xf>
    <xf numFmtId="0" fontId="3" fillId="0" borderId="10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0" fillId="0" borderId="57" xfId="0" applyBorder="1" applyAlignment="1">
      <alignment horizontal="left"/>
    </xf>
    <xf numFmtId="0" fontId="0" fillId="0" borderId="58" xfId="0" applyBorder="1" applyAlignment="1">
      <alignment horizontal="left"/>
    </xf>
    <xf numFmtId="0" fontId="3" fillId="0" borderId="5" xfId="0" applyFont="1" applyBorder="1" applyAlignment="1">
      <alignment horizontal="center" vertical="center" textRotation="90"/>
    </xf>
    <xf numFmtId="0" fontId="3" fillId="0" borderId="7" xfId="0" applyFont="1" applyBorder="1" applyAlignment="1">
      <alignment horizontal="center" vertical="center" textRotation="90"/>
    </xf>
    <xf numFmtId="0" fontId="3" fillId="0" borderId="59" xfId="0" applyFont="1" applyBorder="1" applyAlignment="1">
      <alignment horizontal="left"/>
    </xf>
    <xf numFmtId="0" fontId="3" fillId="0" borderId="60" xfId="0" applyFont="1" applyBorder="1" applyAlignment="1">
      <alignment horizontal="left"/>
    </xf>
    <xf numFmtId="0" fontId="3" fillId="0" borderId="46" xfId="0" applyFont="1" applyBorder="1" applyAlignment="1">
      <alignment horizontal="center"/>
    </xf>
    <xf numFmtId="0" fontId="3" fillId="0" borderId="47" xfId="0" applyFont="1" applyBorder="1" applyAlignment="1">
      <alignment horizontal="center"/>
    </xf>
    <xf numFmtId="0" fontId="3" fillId="0" borderId="48" xfId="0" applyFont="1" applyBorder="1" applyAlignment="1">
      <alignment horizontal="center"/>
    </xf>
    <xf numFmtId="0" fontId="3" fillId="0" borderId="32" xfId="0" applyFont="1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3" fillId="0" borderId="41" xfId="0" applyFont="1" applyBorder="1" applyAlignment="1">
      <alignment horizontal="left"/>
    </xf>
    <xf numFmtId="0" fontId="0" fillId="0" borderId="42" xfId="0" applyBorder="1" applyAlignment="1">
      <alignment horizontal="left"/>
    </xf>
    <xf numFmtId="0" fontId="0" fillId="0" borderId="4" xfId="0" applyBorder="1" applyAlignment="1">
      <alignment horizontal="center" vertical="center" textRotation="90"/>
    </xf>
    <xf numFmtId="0" fontId="3" fillId="0" borderId="10" xfId="0" applyFont="1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13" xfId="0" applyBorder="1" applyAlignment="1">
      <alignment horizontal="center" wrapText="1"/>
    </xf>
    <xf numFmtId="0" fontId="0" fillId="0" borderId="11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33" xfId="0" applyBorder="1" applyAlignment="1">
      <alignment horizontal="left"/>
    </xf>
    <xf numFmtId="0" fontId="3" fillId="0" borderId="27" xfId="0" quotePrefix="1" applyFont="1" applyBorder="1" applyAlignment="1">
      <alignment horizontal="center" wrapText="1"/>
    </xf>
    <xf numFmtId="0" fontId="0" fillId="0" borderId="32" xfId="0" applyBorder="1" applyAlignment="1">
      <alignment horizontal="left"/>
    </xf>
    <xf numFmtId="0" fontId="3" fillId="0" borderId="27" xfId="0" quotePrefix="1" applyFont="1" applyBorder="1" applyAlignment="1">
      <alignment horizontal="center"/>
    </xf>
    <xf numFmtId="0" fontId="3" fillId="0" borderId="28" xfId="0" quotePrefix="1" applyFont="1" applyBorder="1" applyAlignment="1">
      <alignment horizontal="center"/>
    </xf>
    <xf numFmtId="0" fontId="3" fillId="0" borderId="29" xfId="0" quotePrefix="1" applyFont="1" applyBorder="1" applyAlignment="1">
      <alignment horizontal="center"/>
    </xf>
    <xf numFmtId="0" fontId="3" fillId="0" borderId="43" xfId="0" applyFont="1" applyBorder="1" applyAlignment="1">
      <alignment horizontal="center" wrapText="1"/>
    </xf>
    <xf numFmtId="0" fontId="0" fillId="0" borderId="7" xfId="0" applyBorder="1" applyAlignment="1">
      <alignment horizontal="left"/>
    </xf>
    <xf numFmtId="0" fontId="0" fillId="0" borderId="56" xfId="0" applyBorder="1" applyAlignment="1">
      <alignment horizontal="left"/>
    </xf>
    <xf numFmtId="0" fontId="3" fillId="0" borderId="21" xfId="0" quotePrefix="1" applyFont="1" applyBorder="1" applyAlignment="1">
      <alignment horizontal="center"/>
    </xf>
    <xf numFmtId="0" fontId="3" fillId="0" borderId="19" xfId="0" quotePrefix="1" applyFont="1" applyBorder="1" applyAlignment="1">
      <alignment horizontal="center"/>
    </xf>
    <xf numFmtId="0" fontId="3" fillId="0" borderId="22" xfId="0" quotePrefix="1" applyFont="1" applyBorder="1" applyAlignment="1">
      <alignment horizontal="center"/>
    </xf>
    <xf numFmtId="0" fontId="0" fillId="0" borderId="23" xfId="0" applyBorder="1" applyAlignment="1">
      <alignment horizontal="center" vertical="center" textRotation="90"/>
    </xf>
    <xf numFmtId="0" fontId="0" fillId="0" borderId="26" xfId="0" applyBorder="1" applyAlignment="1">
      <alignment horizontal="center" vertical="center" textRotation="90"/>
    </xf>
    <xf numFmtId="0" fontId="0" fillId="0" borderId="30" xfId="0" applyBorder="1" applyAlignment="1">
      <alignment horizontal="center" vertical="center" textRotation="90"/>
    </xf>
    <xf numFmtId="0" fontId="0" fillId="0" borderId="31" xfId="0" applyBorder="1" applyAlignment="1">
      <alignment horizontal="center" vertical="center" textRotation="90"/>
    </xf>
    <xf numFmtId="0" fontId="3" fillId="0" borderId="24" xfId="0" applyFont="1" applyBorder="1" applyAlignment="1">
      <alignment horizontal="left"/>
    </xf>
    <xf numFmtId="0" fontId="3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3" fillId="0" borderId="27" xfId="0" applyFont="1" applyBorder="1" applyAlignment="1">
      <alignment horizontal="center" wrapText="1"/>
    </xf>
    <xf numFmtId="0" fontId="0" fillId="0" borderId="59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60" xfId="0" applyBorder="1" applyAlignment="1">
      <alignment horizontal="left"/>
    </xf>
    <xf numFmtId="0" fontId="0" fillId="0" borderId="47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3" fillId="0" borderId="21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6" xfId="0" applyBorder="1" applyAlignment="1">
      <alignment horizontal="center"/>
    </xf>
    <xf numFmtId="0" fontId="1" fillId="0" borderId="13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</cellXfs>
  <cellStyles count="2">
    <cellStyle name="Normal" xfId="0" builtinId="0"/>
    <cellStyle name="Normal 3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5" Type="http://schemas.openxmlformats.org/officeDocument/2006/relationships/customXml" Target="../customXml/item2.xml"/><Relationship Id="rId10" Type="http://schemas.microsoft.com/office/2017/06/relationships/rdRichValue" Target="richData/rdrichvalue.xml"/><Relationship Id="rId4" Type="http://schemas.openxmlformats.org/officeDocument/2006/relationships/externalLink" Target="externalLinks/externalLink1.xml"/><Relationship Id="rId9" Type="http://schemas.microsoft.com/office/2020/07/relationships/rdRichValueWebImage" Target="richData/rdRichValueWebImage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483704</xdr:colOff>
      <xdr:row>11</xdr:row>
      <xdr:rowOff>13252</xdr:rowOff>
    </xdr:from>
    <xdr:to>
      <xdr:col>21</xdr:col>
      <xdr:colOff>130629</xdr:colOff>
      <xdr:row>18</xdr:row>
      <xdr:rowOff>72886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32D7A3CD-A61C-4C2C-91C9-7C7C05046A31}"/>
            </a:ext>
          </a:extLst>
        </xdr:cNvPr>
        <xdr:cNvSpPr/>
      </xdr:nvSpPr>
      <xdr:spPr bwMode="auto">
        <a:xfrm>
          <a:off x="10868675" y="1831166"/>
          <a:ext cx="1443068" cy="112643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470453</xdr:colOff>
      <xdr:row>2</xdr:row>
      <xdr:rowOff>13252</xdr:rowOff>
    </xdr:from>
    <xdr:to>
      <xdr:col>21</xdr:col>
      <xdr:colOff>130630</xdr:colOff>
      <xdr:row>9</xdr:row>
      <xdr:rowOff>106017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1806CFC6-A9D8-402A-909C-272FD756CA56}"/>
            </a:ext>
          </a:extLst>
        </xdr:cNvPr>
        <xdr:cNvSpPr/>
      </xdr:nvSpPr>
      <xdr:spPr bwMode="auto">
        <a:xfrm>
          <a:off x="10855424" y="459566"/>
          <a:ext cx="1456320" cy="115956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185530</xdr:colOff>
      <xdr:row>11</xdr:row>
      <xdr:rowOff>19878</xdr:rowOff>
    </xdr:from>
    <xdr:to>
      <xdr:col>18</xdr:col>
      <xdr:colOff>225287</xdr:colOff>
      <xdr:row>18</xdr:row>
      <xdr:rowOff>79512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88C6D94A-6C4F-4E68-8CC5-5F0C41D57D29}"/>
            </a:ext>
          </a:extLst>
        </xdr:cNvPr>
        <xdr:cNvSpPr/>
      </xdr:nvSpPr>
      <xdr:spPr bwMode="auto">
        <a:xfrm>
          <a:off x="8445610" y="2016318"/>
          <a:ext cx="1030357" cy="112643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16</xdr:col>
      <xdr:colOff>192157</xdr:colOff>
      <xdr:row>2</xdr:row>
      <xdr:rowOff>13252</xdr:rowOff>
    </xdr:from>
    <xdr:to>
      <xdr:col>18</xdr:col>
      <xdr:colOff>231914</xdr:colOff>
      <xdr:row>9</xdr:row>
      <xdr:rowOff>106017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834486FC-C8EB-46B0-AA70-1D8C2197010A}"/>
            </a:ext>
          </a:extLst>
        </xdr:cNvPr>
        <xdr:cNvSpPr/>
      </xdr:nvSpPr>
      <xdr:spPr bwMode="auto">
        <a:xfrm>
          <a:off x="8452237" y="615232"/>
          <a:ext cx="1030357" cy="11824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19</xdr:col>
      <xdr:colOff>218662</xdr:colOff>
      <xdr:row>3</xdr:row>
      <xdr:rowOff>93223</xdr:rowOff>
    </xdr:from>
    <xdr:to>
      <xdr:col>20</xdr:col>
      <xdr:colOff>476086</xdr:colOff>
      <xdr:row>9</xdr:row>
      <xdr:rowOff>26505</xdr:rowOff>
    </xdr:to>
    <xdr:pic macro="[0]!VincularImagens">
      <xdr:nvPicPr>
        <xdr:cNvPr id="14" name="Gráfico 13" descr="Computação em Nuvem estrutura de tópicos">
          <a:extLst>
            <a:ext uri="{FF2B5EF4-FFF2-40B4-BE49-F238E27FC236}">
              <a16:creationId xmlns:a16="http://schemas.microsoft.com/office/drawing/2014/main" id="{F5BF851F-93BE-435A-85C4-C57B153BC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64642" y="855223"/>
          <a:ext cx="859404" cy="847682"/>
        </a:xfrm>
        <a:prstGeom prst="rect">
          <a:avLst/>
        </a:prstGeom>
      </xdr:spPr>
    </xdr:pic>
    <xdr:clientData/>
  </xdr:twoCellAnchor>
  <xdr:twoCellAnchor editAs="oneCell">
    <xdr:from>
      <xdr:col>16</xdr:col>
      <xdr:colOff>265485</xdr:colOff>
      <xdr:row>12</xdr:row>
      <xdr:rowOff>58641</xdr:rowOff>
    </xdr:from>
    <xdr:to>
      <xdr:col>17</xdr:col>
      <xdr:colOff>591961</xdr:colOff>
      <xdr:row>17</xdr:row>
      <xdr:rowOff>150994</xdr:rowOff>
    </xdr:to>
    <xdr:pic macro="[0]!ExportarPDF">
      <xdr:nvPicPr>
        <xdr:cNvPr id="15" name="Gráfico 14" descr="Impressora com preenchimento sólido">
          <a:extLst>
            <a:ext uri="{FF2B5EF4-FFF2-40B4-BE49-F238E27FC236}">
              <a16:creationId xmlns:a16="http://schemas.microsoft.com/office/drawing/2014/main" id="{C816705C-FD9B-430D-B6FF-09C55E056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25565" y="2207481"/>
          <a:ext cx="928456" cy="854353"/>
        </a:xfrm>
        <a:prstGeom prst="rect">
          <a:avLst/>
        </a:prstGeom>
      </xdr:spPr>
    </xdr:pic>
    <xdr:clientData/>
  </xdr:twoCellAnchor>
  <xdr:twoCellAnchor editAs="oneCell">
    <xdr:from>
      <xdr:col>19</xdr:col>
      <xdr:colOff>144874</xdr:colOff>
      <xdr:row>12</xdr:row>
      <xdr:rowOff>65029</xdr:rowOff>
    </xdr:from>
    <xdr:to>
      <xdr:col>20</xdr:col>
      <xdr:colOff>456963</xdr:colOff>
      <xdr:row>18</xdr:row>
      <xdr:rowOff>53102</xdr:rowOff>
    </xdr:to>
    <xdr:pic macro="[0]!AreaDeImpressaoCapa">
      <xdr:nvPicPr>
        <xdr:cNvPr id="16" name="Gráfico 15" descr="Impressora estrutura de tópicos">
          <a:extLst>
            <a:ext uri="{FF2B5EF4-FFF2-40B4-BE49-F238E27FC236}">
              <a16:creationId xmlns:a16="http://schemas.microsoft.com/office/drawing/2014/main" id="{54AC8FDA-04C7-4702-9254-2A5224BA3A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128560" y="2035343"/>
          <a:ext cx="910803" cy="902473"/>
        </a:xfrm>
        <a:prstGeom prst="rect">
          <a:avLst/>
        </a:prstGeom>
      </xdr:spPr>
    </xdr:pic>
    <xdr:clientData/>
  </xdr:twoCellAnchor>
  <xdr:twoCellAnchor editAs="oneCell">
    <xdr:from>
      <xdr:col>16</xdr:col>
      <xdr:colOff>270013</xdr:colOff>
      <xdr:row>3</xdr:row>
      <xdr:rowOff>97072</xdr:rowOff>
    </xdr:from>
    <xdr:to>
      <xdr:col>17</xdr:col>
      <xdr:colOff>580114</xdr:colOff>
      <xdr:row>9</xdr:row>
      <xdr:rowOff>85145</xdr:rowOff>
    </xdr:to>
    <xdr:pic macro="[0]!CaputarLogos">
      <xdr:nvPicPr>
        <xdr:cNvPr id="17" name="Gráfico 16" descr="Imagens com preenchimento sólido">
          <a:extLst>
            <a:ext uri="{FF2B5EF4-FFF2-40B4-BE49-F238E27FC236}">
              <a16:creationId xmlns:a16="http://schemas.microsoft.com/office/drawing/2014/main" id="{5838042A-BEEE-4BF3-8978-D0C56D864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0093" y="859072"/>
          <a:ext cx="912081" cy="902473"/>
        </a:xfrm>
        <a:prstGeom prst="rect">
          <a:avLst/>
        </a:prstGeom>
      </xdr:spPr>
    </xdr:pic>
    <xdr:clientData/>
  </xdr:twoCellAnchor>
  <xdr:oneCellAnchor>
    <xdr:from>
      <xdr:col>18</xdr:col>
      <xdr:colOff>459045</xdr:colOff>
      <xdr:row>2</xdr:row>
      <xdr:rowOff>1987</xdr:rowOff>
    </xdr:from>
    <xdr:ext cx="1424941" cy="269369"/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69B0B0BA-C4F2-47CE-8E79-F1DD873E7A72}"/>
            </a:ext>
          </a:extLst>
        </xdr:cNvPr>
        <xdr:cNvSpPr/>
      </xdr:nvSpPr>
      <xdr:spPr>
        <a:xfrm>
          <a:off x="10844016" y="448301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Sincronizar Logos</a:t>
          </a:r>
        </a:p>
      </xdr:txBody>
    </xdr:sp>
    <xdr:clientData/>
  </xdr:oneCellAnchor>
  <xdr:oneCellAnchor>
    <xdr:from>
      <xdr:col>16</xdr:col>
      <xdr:colOff>40146</xdr:colOff>
      <xdr:row>2</xdr:row>
      <xdr:rowOff>6626</xdr:rowOff>
    </xdr:from>
    <xdr:ext cx="1424941" cy="269369"/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CD06E63F-F1B9-436E-BFEC-D168BAFEAFB0}"/>
            </a:ext>
          </a:extLst>
        </xdr:cNvPr>
        <xdr:cNvSpPr/>
      </xdr:nvSpPr>
      <xdr:spPr>
        <a:xfrm>
          <a:off x="8300226" y="608606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Baixar Logos</a:t>
          </a:r>
        </a:p>
      </xdr:txBody>
    </xdr:sp>
    <xdr:clientData/>
  </xdr:oneCellAnchor>
  <xdr:oneCellAnchor>
    <xdr:from>
      <xdr:col>16</xdr:col>
      <xdr:colOff>42739</xdr:colOff>
      <xdr:row>11</xdr:row>
      <xdr:rowOff>13252</xdr:rowOff>
    </xdr:from>
    <xdr:ext cx="1424941" cy="269369"/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4B49AFBE-1A8F-420E-BE06-0DB71D2369AC}"/>
            </a:ext>
          </a:extLst>
        </xdr:cNvPr>
        <xdr:cNvSpPr/>
      </xdr:nvSpPr>
      <xdr:spPr>
        <a:xfrm>
          <a:off x="8302819" y="2009692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Gerar PDF</a:t>
          </a:r>
        </a:p>
      </xdr:txBody>
    </xdr:sp>
    <xdr:clientData/>
  </xdr:oneCellAnchor>
  <xdr:oneCellAnchor>
    <xdr:from>
      <xdr:col>18</xdr:col>
      <xdr:colOff>449343</xdr:colOff>
      <xdr:row>11</xdr:row>
      <xdr:rowOff>6626</xdr:rowOff>
    </xdr:from>
    <xdr:ext cx="1516380" cy="269369"/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61737EBA-FDB3-4E26-805F-454BAF132F05}"/>
            </a:ext>
          </a:extLst>
        </xdr:cNvPr>
        <xdr:cNvSpPr/>
      </xdr:nvSpPr>
      <xdr:spPr>
        <a:xfrm>
          <a:off x="10834314" y="1824540"/>
          <a:ext cx="1516380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Área de impressão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470454</xdr:colOff>
      <xdr:row>5</xdr:row>
      <xdr:rowOff>13252</xdr:rowOff>
    </xdr:from>
    <xdr:to>
      <xdr:col>28</xdr:col>
      <xdr:colOff>62754</xdr:colOff>
      <xdr:row>10</xdr:row>
      <xdr:rowOff>35859</xdr:rowOff>
    </xdr:to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586E912D-4613-417E-B67F-78FAAFEBAE43}"/>
            </a:ext>
          </a:extLst>
        </xdr:cNvPr>
        <xdr:cNvSpPr/>
      </xdr:nvSpPr>
      <xdr:spPr bwMode="auto">
        <a:xfrm>
          <a:off x="10286807" y="954546"/>
          <a:ext cx="1421100" cy="148385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24</xdr:col>
      <xdr:colOff>239319</xdr:colOff>
      <xdr:row>11</xdr:row>
      <xdr:rowOff>37807</xdr:rowOff>
    </xdr:from>
    <xdr:to>
      <xdr:col>26</xdr:col>
      <xdr:colOff>600635</xdr:colOff>
      <xdr:row>17</xdr:row>
      <xdr:rowOff>143435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A651CD47-40DD-4DF9-BACE-681F3E7639E2}"/>
            </a:ext>
          </a:extLst>
        </xdr:cNvPr>
        <xdr:cNvSpPr/>
      </xdr:nvSpPr>
      <xdr:spPr bwMode="auto">
        <a:xfrm>
          <a:off x="9446072" y="2691360"/>
          <a:ext cx="1580516" cy="161169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192157</xdr:colOff>
      <xdr:row>5</xdr:row>
      <xdr:rowOff>13252</xdr:rowOff>
    </xdr:from>
    <xdr:to>
      <xdr:col>25</xdr:col>
      <xdr:colOff>231914</xdr:colOff>
      <xdr:row>10</xdr:row>
      <xdr:rowOff>26894</xdr:rowOff>
    </xdr:to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13F01F70-E685-48F4-9977-96168F59C174}"/>
            </a:ext>
          </a:extLst>
        </xdr:cNvPr>
        <xdr:cNvSpPr/>
      </xdr:nvSpPr>
      <xdr:spPr bwMode="auto">
        <a:xfrm>
          <a:off x="8789310" y="954546"/>
          <a:ext cx="1258957" cy="147488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26</xdr:col>
      <xdr:colOff>191768</xdr:colOff>
      <xdr:row>5</xdr:row>
      <xdr:rowOff>362164</xdr:rowOff>
    </xdr:from>
    <xdr:to>
      <xdr:col>27</xdr:col>
      <xdr:colOff>441572</xdr:colOff>
      <xdr:row>8</xdr:row>
      <xdr:rowOff>238968</xdr:rowOff>
    </xdr:to>
    <xdr:pic macro="[0]!VincularImagens">
      <xdr:nvPicPr>
        <xdr:cNvPr id="31" name="Gráfico 30" descr="Computação em Nuvem estrutura de tópicos">
          <a:extLst>
            <a:ext uri="{FF2B5EF4-FFF2-40B4-BE49-F238E27FC236}">
              <a16:creationId xmlns:a16="http://schemas.microsoft.com/office/drawing/2014/main" id="{45B916CD-39B3-4964-9B91-9B1CF8869E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617721" y="1303458"/>
          <a:ext cx="859404" cy="844992"/>
        </a:xfrm>
        <a:prstGeom prst="rect">
          <a:avLst/>
        </a:prstGeom>
      </xdr:spPr>
    </xdr:pic>
    <xdr:clientData/>
  </xdr:twoCellAnchor>
  <xdr:twoCellAnchor editAs="oneCell">
    <xdr:from>
      <xdr:col>24</xdr:col>
      <xdr:colOff>588215</xdr:colOff>
      <xdr:row>13</xdr:row>
      <xdr:rowOff>40713</xdr:rowOff>
    </xdr:from>
    <xdr:to>
      <xdr:col>26</xdr:col>
      <xdr:colOff>297471</xdr:colOff>
      <xdr:row>16</xdr:row>
      <xdr:rowOff>140685</xdr:rowOff>
    </xdr:to>
    <xdr:pic macro="[0]!ExportarPDF">
      <xdr:nvPicPr>
        <xdr:cNvPr id="32" name="Gráfico 31" descr="Impressora com preenchimento sólido">
          <a:extLst>
            <a:ext uri="{FF2B5EF4-FFF2-40B4-BE49-F238E27FC236}">
              <a16:creationId xmlns:a16="http://schemas.microsoft.com/office/drawing/2014/main" id="{C0987707-F1B8-462E-8DB0-EA9883CFDD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794968" y="3196289"/>
          <a:ext cx="928456" cy="853008"/>
        </a:xfrm>
        <a:prstGeom prst="rect">
          <a:avLst/>
        </a:prstGeom>
      </xdr:spPr>
    </xdr:pic>
    <xdr:clientData/>
  </xdr:twoCellAnchor>
  <xdr:twoCellAnchor editAs="oneCell">
    <xdr:from>
      <xdr:col>23</xdr:col>
      <xdr:colOff>368624</xdr:colOff>
      <xdr:row>5</xdr:row>
      <xdr:rowOff>294295</xdr:rowOff>
    </xdr:from>
    <xdr:to>
      <xdr:col>25</xdr:col>
      <xdr:colOff>61505</xdr:colOff>
      <xdr:row>8</xdr:row>
      <xdr:rowOff>225442</xdr:rowOff>
    </xdr:to>
    <xdr:pic macro="[0]!CaputarLogos">
      <xdr:nvPicPr>
        <xdr:cNvPr id="34" name="Gráfico 33" descr="Imagens com preenchimento sólido">
          <a:extLst>
            <a:ext uri="{FF2B5EF4-FFF2-40B4-BE49-F238E27FC236}">
              <a16:creationId xmlns:a16="http://schemas.microsoft.com/office/drawing/2014/main" id="{4A07E9A4-C2E0-48D9-9C10-F056DC549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5777" y="1235589"/>
          <a:ext cx="912081" cy="899335"/>
        </a:xfrm>
        <a:prstGeom prst="rect">
          <a:avLst/>
        </a:prstGeom>
      </xdr:spPr>
    </xdr:pic>
    <xdr:clientData/>
  </xdr:twoCellAnchor>
  <xdr:oneCellAnchor>
    <xdr:from>
      <xdr:col>25</xdr:col>
      <xdr:colOff>459045</xdr:colOff>
      <xdr:row>5</xdr:row>
      <xdr:rowOff>1987</xdr:rowOff>
    </xdr:from>
    <xdr:ext cx="1424941" cy="269369"/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77017D8C-B3E4-472F-A338-97DAEB242679}"/>
            </a:ext>
          </a:extLst>
        </xdr:cNvPr>
        <xdr:cNvSpPr/>
      </xdr:nvSpPr>
      <xdr:spPr>
        <a:xfrm>
          <a:off x="10829865" y="443947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0070C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Sincronizar Logos</a:t>
          </a:r>
        </a:p>
      </xdr:txBody>
    </xdr:sp>
    <xdr:clientData/>
  </xdr:oneCellAnchor>
  <xdr:oneCellAnchor>
    <xdr:from>
      <xdr:col>23</xdr:col>
      <xdr:colOff>40146</xdr:colOff>
      <xdr:row>5</xdr:row>
      <xdr:rowOff>6626</xdr:rowOff>
    </xdr:from>
    <xdr:ext cx="1424941" cy="269369"/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3351ADBD-DB40-4118-A62A-9F4C007648AC}"/>
            </a:ext>
          </a:extLst>
        </xdr:cNvPr>
        <xdr:cNvSpPr/>
      </xdr:nvSpPr>
      <xdr:spPr>
        <a:xfrm>
          <a:off x="9207006" y="448586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Baixar Logos</a:t>
          </a:r>
        </a:p>
      </xdr:txBody>
    </xdr:sp>
    <xdr:clientData/>
  </xdr:oneCellAnchor>
  <xdr:oneCellAnchor>
    <xdr:from>
      <xdr:col>24</xdr:col>
      <xdr:colOff>311680</xdr:colOff>
      <xdr:row>11</xdr:row>
      <xdr:rowOff>156687</xdr:rowOff>
    </xdr:from>
    <xdr:ext cx="1424941" cy="269369"/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4284774F-FCD1-4381-B64E-FA10F0D6F6FB}"/>
            </a:ext>
          </a:extLst>
        </xdr:cNvPr>
        <xdr:cNvSpPr/>
      </xdr:nvSpPr>
      <xdr:spPr>
        <a:xfrm>
          <a:off x="9518433" y="2810240"/>
          <a:ext cx="1424941" cy="26936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2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Gerar PDF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aio/Clientes/BP%20Bunge/MOE/FD-684-PR-002%20(Moema)%20REV%200.3_Cai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a"/>
      <sheetName val="Capa"/>
      <sheetName val="FD1"/>
      <sheetName val="FD2"/>
      <sheetName val="FD4"/>
      <sheetName val="FD10"/>
      <sheetName val="FD8"/>
      <sheetName val="FD16"/>
      <sheetName val="FD20"/>
      <sheetName val="FD22"/>
      <sheetName val="FD24"/>
      <sheetName val="FD25"/>
      <sheetName val="FD60"/>
      <sheetName val="FD26"/>
      <sheetName val="FD28"/>
      <sheetName val="FD29"/>
      <sheetName val="FD30"/>
      <sheetName val="FD43"/>
      <sheetName val="FD47"/>
      <sheetName val="FD49"/>
      <sheetName val="FD53"/>
      <sheetName val="FD54"/>
      <sheetName val="FD56"/>
      <sheetName val="FD59"/>
      <sheetName val="FD61"/>
      <sheetName val="FD62"/>
      <sheetName val="FD63"/>
      <sheetName val="FD67"/>
      <sheetName val="FD68"/>
      <sheetName val="FD69"/>
      <sheetName val="FD70"/>
      <sheetName val="FD72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richData/_rels/rdRichValueWebImage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technikgrupo.sharepoint.com/sites/transfer/Logos/Technik.png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</webImagesSrd>
</file>

<file path=xl/richData/rdrichvalue.xml><?xml version="1.0" encoding="utf-8"?>
<rvData xmlns="http://schemas.microsoft.com/office/spreadsheetml/2017/richdata" count="1">
  <rv s="0">
    <v>0</v>
    <v>1</v>
    <v>0</v>
    <v>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Sizing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0E7498-E70D-4029-8385-53A09021B7C2}" name="TDados" displayName="TDados" ref="A1:I2" totalsRowShown="0">
  <autoFilter ref="A1:I2" xr:uid="{00000000-0009-0000-0100-000001000000}"/>
  <tableColumns count="9">
    <tableColumn id="1" xr3:uid="{C9FF89E3-F052-41C8-9CFA-6AB1C229755F}" name="id"/>
    <tableColumn id="2" xr3:uid="{FAD43D8D-BE08-4313-AB5B-3C66FDBDE0C1}" name="logoCliente"/>
    <tableColumn id="3" xr3:uid="{E93A5DC0-1AB7-454B-9483-B0B49D6AAB6B}" name="nomeCliente"/>
    <tableColumn id="4" xr3:uid="{4C66A756-4F4E-49B8-BF9A-3F2FE13315C2}" name="numProjeto"/>
    <tableColumn id="5" xr3:uid="{3A57D27D-A87F-4023-9C44-5D1AAD173F4B}" name="cidadeCliente"/>
    <tableColumn id="6" xr3:uid="{FFCA46E5-C2B8-4EB5-A38F-8DB3071E7B00}" name="siglaProjeto"/>
    <tableColumn id="7" xr3:uid="{43EBAC4C-1846-4FC7-8901-449D09919A01}" name="solicitante"/>
    <tableColumn id="8" xr3:uid="{8743E635-F8E2-42B7-99F1-E0B1644F7A5C}" name="responsavelTecnico"/>
    <tableColumn id="9" xr3:uid="{C923D36D-793F-4B46-8D44-2340EFBF4CF6}" name="servic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39695-AB0E-40AE-82AD-A3C82EEDE872}">
  <sheetPr codeName="Planilha3">
    <tabColor rgb="FF92D050"/>
  </sheetPr>
  <dimension ref="A1:I2"/>
  <sheetViews>
    <sheetView workbookViewId="0">
      <selection activeCell="B2" sqref="B2"/>
    </sheetView>
  </sheetViews>
  <sheetFormatPr defaultRowHeight="13.2" x14ac:dyDescent="0.25"/>
  <cols>
    <col min="1" max="1" width="10" customWidth="1"/>
    <col min="2" max="2" width="13" bestFit="1" customWidth="1"/>
    <col min="3" max="3" width="14" bestFit="1" customWidth="1"/>
    <col min="4" max="4" width="13.33203125" bestFit="1" customWidth="1"/>
    <col min="5" max="5" width="14.88671875" bestFit="1" customWidth="1"/>
    <col min="6" max="6" width="13.5546875" bestFit="1" customWidth="1"/>
    <col min="7" max="7" width="12.109375" bestFit="1" customWidth="1"/>
    <col min="8" max="8" width="20.77734375" bestFit="1" customWidth="1"/>
    <col min="9" max="9" width="9.5546875" bestFit="1" customWidth="1"/>
  </cols>
  <sheetData>
    <row r="1" spans="1:9" x14ac:dyDescent="0.25">
      <c r="A1" t="s">
        <v>68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</row>
    <row r="2" spans="1:9" x14ac:dyDescent="0.25">
      <c r="A2">
        <v>1</v>
      </c>
      <c r="B2" t="s">
        <v>78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V95"/>
  <sheetViews>
    <sheetView showGridLines="0" view="pageBreakPreview" zoomScaleNormal="85" zoomScaleSheetLayoutView="100" workbookViewId="0">
      <selection activeCell="B25" sqref="B25:N26"/>
    </sheetView>
  </sheetViews>
  <sheetFormatPr defaultRowHeight="12" customHeight="1" x14ac:dyDescent="0.25"/>
  <cols>
    <col min="1" max="3" width="8.21875" style="9" customWidth="1"/>
    <col min="4" max="4" width="9.21875" style="9" customWidth="1"/>
    <col min="5" max="14" width="8.21875" style="9" customWidth="1"/>
    <col min="15" max="257" width="8.77734375" style="9"/>
    <col min="258" max="270" width="8.21875" style="9" customWidth="1"/>
    <col min="271" max="513" width="8.77734375" style="9"/>
    <col min="514" max="526" width="8.21875" style="9" customWidth="1"/>
    <col min="527" max="769" width="8.77734375" style="9"/>
    <col min="770" max="782" width="8.21875" style="9" customWidth="1"/>
    <col min="783" max="1025" width="8.77734375" style="9"/>
    <col min="1026" max="1038" width="8.21875" style="9" customWidth="1"/>
    <col min="1039" max="1281" width="8.77734375" style="9"/>
    <col min="1282" max="1294" width="8.21875" style="9" customWidth="1"/>
    <col min="1295" max="1537" width="8.77734375" style="9"/>
    <col min="1538" max="1550" width="8.21875" style="9" customWidth="1"/>
    <col min="1551" max="1793" width="8.77734375" style="9"/>
    <col min="1794" max="1806" width="8.21875" style="9" customWidth="1"/>
    <col min="1807" max="2049" width="8.77734375" style="9"/>
    <col min="2050" max="2062" width="8.21875" style="9" customWidth="1"/>
    <col min="2063" max="2305" width="8.77734375" style="9"/>
    <col min="2306" max="2318" width="8.21875" style="9" customWidth="1"/>
    <col min="2319" max="2561" width="8.77734375" style="9"/>
    <col min="2562" max="2574" width="8.21875" style="9" customWidth="1"/>
    <col min="2575" max="2817" width="8.77734375" style="9"/>
    <col min="2818" max="2830" width="8.21875" style="9" customWidth="1"/>
    <col min="2831" max="3073" width="8.77734375" style="9"/>
    <col min="3074" max="3086" width="8.21875" style="9" customWidth="1"/>
    <col min="3087" max="3329" width="8.77734375" style="9"/>
    <col min="3330" max="3342" width="8.21875" style="9" customWidth="1"/>
    <col min="3343" max="3585" width="8.77734375" style="9"/>
    <col min="3586" max="3598" width="8.21875" style="9" customWidth="1"/>
    <col min="3599" max="3841" width="8.77734375" style="9"/>
    <col min="3842" max="3854" width="8.21875" style="9" customWidth="1"/>
    <col min="3855" max="4097" width="8.77734375" style="9"/>
    <col min="4098" max="4110" width="8.21875" style="9" customWidth="1"/>
    <col min="4111" max="4353" width="8.77734375" style="9"/>
    <col min="4354" max="4366" width="8.21875" style="9" customWidth="1"/>
    <col min="4367" max="4609" width="8.77734375" style="9"/>
    <col min="4610" max="4622" width="8.21875" style="9" customWidth="1"/>
    <col min="4623" max="4865" width="8.77734375" style="9"/>
    <col min="4866" max="4878" width="8.21875" style="9" customWidth="1"/>
    <col min="4879" max="5121" width="8.77734375" style="9"/>
    <col min="5122" max="5134" width="8.21875" style="9" customWidth="1"/>
    <col min="5135" max="5377" width="8.77734375" style="9"/>
    <col min="5378" max="5390" width="8.21875" style="9" customWidth="1"/>
    <col min="5391" max="5633" width="8.77734375" style="9"/>
    <col min="5634" max="5646" width="8.21875" style="9" customWidth="1"/>
    <col min="5647" max="5889" width="8.77734375" style="9"/>
    <col min="5890" max="5902" width="8.21875" style="9" customWidth="1"/>
    <col min="5903" max="6145" width="8.77734375" style="9"/>
    <col min="6146" max="6158" width="8.21875" style="9" customWidth="1"/>
    <col min="6159" max="6401" width="8.77734375" style="9"/>
    <col min="6402" max="6414" width="8.21875" style="9" customWidth="1"/>
    <col min="6415" max="6657" width="8.77734375" style="9"/>
    <col min="6658" max="6670" width="8.21875" style="9" customWidth="1"/>
    <col min="6671" max="6913" width="8.77734375" style="9"/>
    <col min="6914" max="6926" width="8.21875" style="9" customWidth="1"/>
    <col min="6927" max="7169" width="8.77734375" style="9"/>
    <col min="7170" max="7182" width="8.21875" style="9" customWidth="1"/>
    <col min="7183" max="7425" width="8.77734375" style="9"/>
    <col min="7426" max="7438" width="8.21875" style="9" customWidth="1"/>
    <col min="7439" max="7681" width="8.77734375" style="9"/>
    <col min="7682" max="7694" width="8.21875" style="9" customWidth="1"/>
    <col min="7695" max="7937" width="8.77734375" style="9"/>
    <col min="7938" max="7950" width="8.21875" style="9" customWidth="1"/>
    <col min="7951" max="8193" width="8.77734375" style="9"/>
    <col min="8194" max="8206" width="8.21875" style="9" customWidth="1"/>
    <col min="8207" max="8449" width="8.77734375" style="9"/>
    <col min="8450" max="8462" width="8.21875" style="9" customWidth="1"/>
    <col min="8463" max="8705" width="8.77734375" style="9"/>
    <col min="8706" max="8718" width="8.21875" style="9" customWidth="1"/>
    <col min="8719" max="8961" width="8.77734375" style="9"/>
    <col min="8962" max="8974" width="8.21875" style="9" customWidth="1"/>
    <col min="8975" max="9217" width="8.77734375" style="9"/>
    <col min="9218" max="9230" width="8.21875" style="9" customWidth="1"/>
    <col min="9231" max="9473" width="8.77734375" style="9"/>
    <col min="9474" max="9486" width="8.21875" style="9" customWidth="1"/>
    <col min="9487" max="9729" width="8.77734375" style="9"/>
    <col min="9730" max="9742" width="8.21875" style="9" customWidth="1"/>
    <col min="9743" max="9985" width="8.77734375" style="9"/>
    <col min="9986" max="9998" width="8.21875" style="9" customWidth="1"/>
    <col min="9999" max="10241" width="8.77734375" style="9"/>
    <col min="10242" max="10254" width="8.21875" style="9" customWidth="1"/>
    <col min="10255" max="10497" width="8.77734375" style="9"/>
    <col min="10498" max="10510" width="8.21875" style="9" customWidth="1"/>
    <col min="10511" max="10753" width="8.77734375" style="9"/>
    <col min="10754" max="10766" width="8.21875" style="9" customWidth="1"/>
    <col min="10767" max="11009" width="8.77734375" style="9"/>
    <col min="11010" max="11022" width="8.21875" style="9" customWidth="1"/>
    <col min="11023" max="11265" width="8.77734375" style="9"/>
    <col min="11266" max="11278" width="8.21875" style="9" customWidth="1"/>
    <col min="11279" max="11521" width="8.77734375" style="9"/>
    <col min="11522" max="11534" width="8.21875" style="9" customWidth="1"/>
    <col min="11535" max="11777" width="8.77734375" style="9"/>
    <col min="11778" max="11790" width="8.21875" style="9" customWidth="1"/>
    <col min="11791" max="12033" width="8.77734375" style="9"/>
    <col min="12034" max="12046" width="8.21875" style="9" customWidth="1"/>
    <col min="12047" max="12289" width="8.77734375" style="9"/>
    <col min="12290" max="12302" width="8.21875" style="9" customWidth="1"/>
    <col min="12303" max="12545" width="8.77734375" style="9"/>
    <col min="12546" max="12558" width="8.21875" style="9" customWidth="1"/>
    <col min="12559" max="12801" width="8.77734375" style="9"/>
    <col min="12802" max="12814" width="8.21875" style="9" customWidth="1"/>
    <col min="12815" max="13057" width="8.77734375" style="9"/>
    <col min="13058" max="13070" width="8.21875" style="9" customWidth="1"/>
    <col min="13071" max="13313" width="8.77734375" style="9"/>
    <col min="13314" max="13326" width="8.21875" style="9" customWidth="1"/>
    <col min="13327" max="13569" width="8.77734375" style="9"/>
    <col min="13570" max="13582" width="8.21875" style="9" customWidth="1"/>
    <col min="13583" max="13825" width="8.77734375" style="9"/>
    <col min="13826" max="13838" width="8.21875" style="9" customWidth="1"/>
    <col min="13839" max="14081" width="8.77734375" style="9"/>
    <col min="14082" max="14094" width="8.21875" style="9" customWidth="1"/>
    <col min="14095" max="14337" width="8.77734375" style="9"/>
    <col min="14338" max="14350" width="8.21875" style="9" customWidth="1"/>
    <col min="14351" max="14593" width="8.77734375" style="9"/>
    <col min="14594" max="14606" width="8.21875" style="9" customWidth="1"/>
    <col min="14607" max="14849" width="8.77734375" style="9"/>
    <col min="14850" max="14862" width="8.21875" style="9" customWidth="1"/>
    <col min="14863" max="15105" width="8.77734375" style="9"/>
    <col min="15106" max="15118" width="8.21875" style="9" customWidth="1"/>
    <col min="15119" max="15361" width="8.77734375" style="9"/>
    <col min="15362" max="15374" width="8.21875" style="9" customWidth="1"/>
    <col min="15375" max="15617" width="8.77734375" style="9"/>
    <col min="15618" max="15630" width="8.21875" style="9" customWidth="1"/>
    <col min="15631" max="15873" width="8.77734375" style="9"/>
    <col min="15874" max="15886" width="8.21875" style="9" customWidth="1"/>
    <col min="15887" max="16129" width="8.77734375" style="9"/>
    <col min="16130" max="16142" width="8.21875" style="9" customWidth="1"/>
    <col min="16143" max="16384" width="8.77734375" style="9"/>
  </cols>
  <sheetData>
    <row r="1" spans="1:22" ht="12" customHeight="1" x14ac:dyDescent="0.25">
      <c r="A1" s="35" t="e" vm="1">
        <f>_xlfn.IMAGE(TDados[logoCliente])</f>
        <v>#VALUE!</v>
      </c>
      <c r="B1" s="36"/>
      <c r="C1" s="36"/>
      <c r="D1" s="43" t="s">
        <v>0</v>
      </c>
      <c r="E1" s="43"/>
      <c r="F1" s="43"/>
      <c r="G1" s="43"/>
      <c r="H1" s="43"/>
      <c r="I1" s="46" t="s">
        <v>77</v>
      </c>
      <c r="J1" s="48" t="str">
        <f>"FD-"&amp;Config!D2&amp;"-"&amp;Config!F2&amp;"-001"</f>
        <v>FD---001</v>
      </c>
      <c r="K1" s="48"/>
      <c r="L1" s="48"/>
      <c r="M1" s="48"/>
      <c r="N1" s="48"/>
      <c r="O1" s="49"/>
    </row>
    <row r="2" spans="1:22" ht="12" customHeight="1" x14ac:dyDescent="0.25">
      <c r="A2" s="37"/>
      <c r="B2" s="38"/>
      <c r="C2" s="38"/>
      <c r="D2" s="44"/>
      <c r="E2" s="45"/>
      <c r="F2" s="45"/>
      <c r="G2" s="45"/>
      <c r="H2" s="45"/>
      <c r="I2" s="47"/>
      <c r="J2" s="50"/>
      <c r="K2" s="50"/>
      <c r="L2" s="50"/>
      <c r="M2" s="50"/>
      <c r="N2" s="50"/>
      <c r="O2" s="51"/>
      <c r="Q2"/>
      <c r="R2"/>
      <c r="S2"/>
      <c r="T2"/>
      <c r="U2"/>
      <c r="V2"/>
    </row>
    <row r="3" spans="1:22" ht="12" customHeight="1" x14ac:dyDescent="0.25">
      <c r="A3" s="37"/>
      <c r="B3" s="38"/>
      <c r="C3" s="38"/>
      <c r="D3" s="41" t="s">
        <v>1</v>
      </c>
      <c r="E3" s="52">
        <f>Config!C2</f>
        <v>0</v>
      </c>
      <c r="F3" s="52"/>
      <c r="G3" s="52"/>
      <c r="H3" s="52"/>
      <c r="I3" s="52"/>
      <c r="J3" s="52"/>
      <c r="K3" s="52"/>
      <c r="L3" s="52"/>
      <c r="M3" s="52"/>
      <c r="N3" s="52"/>
      <c r="O3" s="53"/>
      <c r="Q3"/>
      <c r="R3"/>
      <c r="S3"/>
      <c r="T3"/>
      <c r="U3"/>
      <c r="V3"/>
    </row>
    <row r="4" spans="1:22" ht="12" customHeight="1" x14ac:dyDescent="0.25">
      <c r="A4" s="39"/>
      <c r="B4" s="40"/>
      <c r="C4" s="40"/>
      <c r="D4" s="42"/>
      <c r="E4" s="54"/>
      <c r="F4" s="54"/>
      <c r="G4" s="54"/>
      <c r="H4" s="54"/>
      <c r="I4" s="54"/>
      <c r="J4" s="54"/>
      <c r="K4" s="54"/>
      <c r="L4" s="54"/>
      <c r="M4" s="54"/>
      <c r="N4" s="54"/>
      <c r="O4" s="55"/>
      <c r="Q4"/>
      <c r="R4"/>
      <c r="S4"/>
      <c r="T4"/>
      <c r="U4"/>
      <c r="V4"/>
    </row>
    <row r="5" spans="1:22" ht="12" customHeight="1" x14ac:dyDescent="0.25">
      <c r="A5" s="72" t="e" vm="1">
        <f t="shared" ref="A5" si="0">_xlfn.IMAGE("https://technikgrupo.sharepoint.com/sites/transfer/Logos/Technik.png")</f>
        <v>#VALUE!</v>
      </c>
      <c r="B5" s="73"/>
      <c r="C5" s="74"/>
      <c r="D5" s="41" t="s">
        <v>2</v>
      </c>
      <c r="E5" s="52">
        <f>Config!E2</f>
        <v>0</v>
      </c>
      <c r="F5" s="52"/>
      <c r="G5" s="52"/>
      <c r="H5" s="52"/>
      <c r="I5" s="52"/>
      <c r="J5" s="52"/>
      <c r="K5" s="52"/>
      <c r="L5" s="52"/>
      <c r="M5" s="52"/>
      <c r="N5" s="52"/>
      <c r="O5" s="53"/>
      <c r="Q5"/>
      <c r="R5"/>
      <c r="S5"/>
      <c r="T5"/>
      <c r="U5"/>
      <c r="V5"/>
    </row>
    <row r="6" spans="1:22" ht="12" customHeight="1" x14ac:dyDescent="0.25">
      <c r="A6" s="37"/>
      <c r="B6" s="38"/>
      <c r="C6" s="75"/>
      <c r="D6" s="42"/>
      <c r="E6" s="54"/>
      <c r="F6" s="54"/>
      <c r="G6" s="54"/>
      <c r="H6" s="54"/>
      <c r="I6" s="54"/>
      <c r="J6" s="54"/>
      <c r="K6" s="54"/>
      <c r="L6" s="54"/>
      <c r="M6" s="54"/>
      <c r="N6" s="54"/>
      <c r="O6" s="55"/>
      <c r="Q6"/>
      <c r="R6"/>
      <c r="S6"/>
      <c r="T6"/>
      <c r="U6"/>
      <c r="V6"/>
    </row>
    <row r="7" spans="1:22" ht="12" customHeight="1" x14ac:dyDescent="0.25">
      <c r="A7" s="37"/>
      <c r="B7" s="38"/>
      <c r="C7" s="75"/>
      <c r="D7" s="41" t="s">
        <v>3</v>
      </c>
      <c r="E7" s="52"/>
      <c r="F7" s="52"/>
      <c r="G7" s="52"/>
      <c r="H7" s="52"/>
      <c r="I7" s="52"/>
      <c r="J7" s="52"/>
      <c r="K7" s="52"/>
      <c r="L7" s="52"/>
      <c r="M7" s="52"/>
      <c r="N7" s="52"/>
      <c r="O7" s="53"/>
      <c r="Q7"/>
      <c r="R7"/>
      <c r="S7"/>
      <c r="T7"/>
      <c r="U7"/>
      <c r="V7"/>
    </row>
    <row r="8" spans="1:22" ht="12" customHeight="1" x14ac:dyDescent="0.25">
      <c r="A8" s="39"/>
      <c r="B8" s="40"/>
      <c r="C8" s="76"/>
      <c r="D8" s="42"/>
      <c r="E8" s="54"/>
      <c r="F8" s="54"/>
      <c r="G8" s="54"/>
      <c r="H8" s="54"/>
      <c r="I8" s="54"/>
      <c r="J8" s="54"/>
      <c r="K8" s="54"/>
      <c r="L8" s="54"/>
      <c r="M8" s="54"/>
      <c r="N8" s="54"/>
      <c r="O8" s="55"/>
      <c r="Q8"/>
      <c r="R8"/>
      <c r="S8"/>
      <c r="T8"/>
      <c r="U8"/>
      <c r="V8"/>
    </row>
    <row r="9" spans="1:22" ht="12" customHeight="1" x14ac:dyDescent="0.25">
      <c r="A9" s="77" t="s">
        <v>5</v>
      </c>
      <c r="B9" s="78"/>
      <c r="C9" s="79"/>
      <c r="D9" s="41" t="s">
        <v>6</v>
      </c>
      <c r="E9" s="56" t="s">
        <v>67</v>
      </c>
      <c r="F9" s="56"/>
      <c r="G9" s="56"/>
      <c r="H9" s="56"/>
      <c r="I9" s="56"/>
      <c r="J9" s="56"/>
      <c r="K9" s="56"/>
      <c r="L9" s="56"/>
      <c r="M9" s="56"/>
      <c r="N9" s="56"/>
      <c r="O9" s="57"/>
      <c r="Q9"/>
      <c r="R9"/>
      <c r="S9"/>
      <c r="T9"/>
      <c r="U9"/>
      <c r="V9"/>
    </row>
    <row r="10" spans="1:22" ht="12" customHeight="1" x14ac:dyDescent="0.25">
      <c r="A10" s="80"/>
      <c r="B10" s="81"/>
      <c r="C10" s="82"/>
      <c r="D10" s="83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9"/>
      <c r="Q10"/>
      <c r="R10"/>
      <c r="S10"/>
      <c r="T10"/>
      <c r="U10"/>
      <c r="V10"/>
    </row>
    <row r="11" spans="1:22" ht="12" customHeight="1" x14ac:dyDescent="0.25">
      <c r="A11" s="60" t="s">
        <v>7</v>
      </c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2"/>
      <c r="Q11"/>
      <c r="R11"/>
      <c r="S11"/>
      <c r="T11"/>
      <c r="U11"/>
      <c r="V11"/>
    </row>
    <row r="12" spans="1:22" ht="12" customHeight="1" x14ac:dyDescent="0.25">
      <c r="A12" s="63"/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5"/>
      <c r="Q12"/>
      <c r="R12"/>
      <c r="S12"/>
      <c r="T12" s="19"/>
      <c r="U12" s="22"/>
      <c r="V12" s="19"/>
    </row>
    <row r="13" spans="1:22" ht="12" customHeight="1" x14ac:dyDescent="0.25">
      <c r="A13" s="84" t="s">
        <v>8</v>
      </c>
      <c r="B13" s="66" t="s">
        <v>9</v>
      </c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8"/>
      <c r="Q13"/>
      <c r="R13"/>
      <c r="S13"/>
      <c r="T13" s="19"/>
      <c r="U13" s="22"/>
      <c r="V13" s="19"/>
    </row>
    <row r="14" spans="1:22" ht="12" customHeight="1" thickBot="1" x14ac:dyDescent="0.3">
      <c r="A14" s="85"/>
      <c r="B14" s="69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1"/>
      <c r="Q14"/>
      <c r="R14"/>
      <c r="S14"/>
      <c r="T14" s="19"/>
      <c r="U14" s="22"/>
      <c r="V14" s="19"/>
    </row>
    <row r="15" spans="1:22" ht="12" customHeight="1" x14ac:dyDescent="0.25">
      <c r="A15" s="20" t="s">
        <v>10</v>
      </c>
      <c r="B15" s="21" t="s">
        <v>66</v>
      </c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18"/>
      <c r="Q15"/>
      <c r="R15"/>
      <c r="S15"/>
      <c r="T15" s="19"/>
      <c r="U15" s="22"/>
      <c r="V15" s="19"/>
    </row>
    <row r="16" spans="1:22" ht="12" customHeight="1" x14ac:dyDescent="0.25">
      <c r="A16" s="20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18"/>
      <c r="Q16"/>
      <c r="R16"/>
      <c r="S16"/>
      <c r="T16" s="19"/>
      <c r="U16" s="22"/>
      <c r="V16" s="19"/>
    </row>
    <row r="17" spans="1:22" ht="12" customHeight="1" x14ac:dyDescent="0.25">
      <c r="A17" s="20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18"/>
      <c r="Q17"/>
      <c r="R17"/>
      <c r="S17"/>
      <c r="T17" s="19"/>
      <c r="U17" s="22"/>
      <c r="V17" s="19"/>
    </row>
    <row r="18" spans="1:22" ht="12" customHeight="1" x14ac:dyDescent="0.25">
      <c r="A18" s="20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18"/>
      <c r="Q18"/>
      <c r="R18"/>
      <c r="S18"/>
      <c r="T18" s="19"/>
      <c r="U18" s="22"/>
      <c r="V18" s="19"/>
    </row>
    <row r="19" spans="1:22" ht="12" customHeight="1" x14ac:dyDescent="0.25">
      <c r="A19" s="20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18"/>
      <c r="Q19"/>
      <c r="R19"/>
      <c r="S19"/>
      <c r="T19" s="19"/>
      <c r="U19" s="22"/>
      <c r="V19" s="19"/>
    </row>
    <row r="20" spans="1:22" ht="12" customHeight="1" x14ac:dyDescent="0.25">
      <c r="A20" s="20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18"/>
    </row>
    <row r="21" spans="1:22" ht="12" customHeight="1" x14ac:dyDescent="0.25">
      <c r="A21" s="20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18"/>
    </row>
    <row r="22" spans="1:22" ht="12" customHeight="1" x14ac:dyDescent="0.25">
      <c r="A22" s="20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18"/>
    </row>
    <row r="23" spans="1:22" ht="12" customHeight="1" x14ac:dyDescent="0.25">
      <c r="A23" s="20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18"/>
    </row>
    <row r="24" spans="1:22" ht="12" customHeight="1" x14ac:dyDescent="0.25">
      <c r="A24" s="20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18"/>
    </row>
    <row r="25" spans="1:22" ht="12" customHeight="1" x14ac:dyDescent="0.25">
      <c r="A25" s="20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18"/>
    </row>
    <row r="26" spans="1:22" ht="12" customHeight="1" x14ac:dyDescent="0.25">
      <c r="A26" s="20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18"/>
    </row>
    <row r="27" spans="1:22" ht="12" customHeight="1" x14ac:dyDescent="0.25">
      <c r="A27" s="20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18"/>
    </row>
    <row r="28" spans="1:22" ht="12" customHeight="1" x14ac:dyDescent="0.25">
      <c r="A28" s="20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18"/>
    </row>
    <row r="29" spans="1:22" ht="12" customHeight="1" x14ac:dyDescent="0.25">
      <c r="A29" s="20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18"/>
    </row>
    <row r="30" spans="1:22" ht="12" customHeight="1" x14ac:dyDescent="0.25">
      <c r="A30" s="20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18"/>
    </row>
    <row r="31" spans="1:22" ht="12" customHeight="1" x14ac:dyDescent="0.25">
      <c r="A31" s="20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18"/>
    </row>
    <row r="32" spans="1:22" ht="12" customHeight="1" x14ac:dyDescent="0.25">
      <c r="A32" s="20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18"/>
    </row>
    <row r="33" spans="1:15" ht="12" customHeight="1" x14ac:dyDescent="0.25">
      <c r="A33" s="20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18"/>
    </row>
    <row r="34" spans="1:15" ht="12" customHeight="1" x14ac:dyDescent="0.25">
      <c r="A34" s="20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18"/>
    </row>
    <row r="35" spans="1:15" ht="12" customHeight="1" x14ac:dyDescent="0.25">
      <c r="A35" s="20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18"/>
    </row>
    <row r="36" spans="1:15" ht="12" customHeight="1" x14ac:dyDescent="0.25">
      <c r="A36" s="20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18"/>
    </row>
    <row r="37" spans="1:15" ht="12" customHeight="1" x14ac:dyDescent="0.25">
      <c r="A37" s="20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18"/>
    </row>
    <row r="38" spans="1:15" ht="12" customHeight="1" x14ac:dyDescent="0.25">
      <c r="A38" s="20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18"/>
    </row>
    <row r="39" spans="1:15" ht="12" customHeight="1" x14ac:dyDescent="0.25">
      <c r="A39" s="20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18"/>
    </row>
    <row r="40" spans="1:15" ht="12" customHeight="1" x14ac:dyDescent="0.25">
      <c r="A40" s="20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18"/>
    </row>
    <row r="41" spans="1:15" ht="12" customHeight="1" x14ac:dyDescent="0.25">
      <c r="A41" s="20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18"/>
    </row>
    <row r="42" spans="1:15" ht="12" customHeight="1" x14ac:dyDescent="0.25">
      <c r="A42" s="20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18"/>
    </row>
    <row r="43" spans="1:15" ht="12" customHeight="1" x14ac:dyDescent="0.25">
      <c r="A43" s="20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18"/>
    </row>
    <row r="44" spans="1:15" ht="12" customHeight="1" x14ac:dyDescent="0.25">
      <c r="A44" s="20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18"/>
    </row>
    <row r="45" spans="1:15" ht="12" customHeight="1" x14ac:dyDescent="0.25">
      <c r="A45" s="20"/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18"/>
    </row>
    <row r="46" spans="1:15" ht="12" customHeight="1" x14ac:dyDescent="0.25">
      <c r="A46" s="20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18"/>
    </row>
    <row r="47" spans="1:15" ht="12" customHeight="1" x14ac:dyDescent="0.25">
      <c r="A47" s="20"/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18"/>
    </row>
    <row r="48" spans="1:15" ht="12" customHeight="1" x14ac:dyDescent="0.25">
      <c r="A48" s="20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18"/>
    </row>
    <row r="49" spans="1:15" ht="12" customHeight="1" x14ac:dyDescent="0.25">
      <c r="A49" s="20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18"/>
    </row>
    <row r="50" spans="1:15" ht="12" customHeight="1" x14ac:dyDescent="0.25">
      <c r="A50" s="20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18"/>
    </row>
    <row r="51" spans="1:15" ht="12" customHeight="1" x14ac:dyDescent="0.25">
      <c r="A51" s="20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18"/>
    </row>
    <row r="52" spans="1:15" ht="12" customHeight="1" thickBot="1" x14ac:dyDescent="0.3">
      <c r="A52" s="20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18"/>
    </row>
    <row r="53" spans="1:15" ht="12" customHeight="1" x14ac:dyDescent="0.25">
      <c r="A53" s="29" t="s">
        <v>11</v>
      </c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1"/>
    </row>
    <row r="54" spans="1:15" ht="12" customHeight="1" thickBot="1" x14ac:dyDescent="0.3">
      <c r="A54" s="32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4"/>
    </row>
    <row r="55" spans="1:15" ht="12" customHeight="1" x14ac:dyDescent="0.25">
      <c r="A55" s="20"/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18"/>
    </row>
    <row r="56" spans="1:15" ht="12" customHeight="1" x14ac:dyDescent="0.25">
      <c r="A56" s="20"/>
      <c r="B56" s="2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18"/>
    </row>
    <row r="57" spans="1:15" ht="12" customHeight="1" x14ac:dyDescent="0.25">
      <c r="A57" s="20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18"/>
    </row>
    <row r="58" spans="1:15" ht="12" customHeight="1" x14ac:dyDescent="0.25">
      <c r="A58" s="20"/>
      <c r="B58" s="21"/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18"/>
    </row>
    <row r="59" spans="1:15" ht="12" customHeight="1" x14ac:dyDescent="0.25">
      <c r="A59" s="20"/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18"/>
    </row>
    <row r="60" spans="1:15" ht="12" customHeight="1" x14ac:dyDescent="0.25">
      <c r="A60" s="20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18"/>
    </row>
    <row r="61" spans="1:15" ht="12" customHeight="1" x14ac:dyDescent="0.25">
      <c r="A61" s="20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18"/>
    </row>
    <row r="62" spans="1:15" ht="12" customHeight="1" x14ac:dyDescent="0.25">
      <c r="A62" s="20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18"/>
    </row>
    <row r="63" spans="1:15" ht="12" customHeight="1" x14ac:dyDescent="0.25">
      <c r="A63" s="20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18"/>
    </row>
    <row r="64" spans="1:15" ht="12" customHeight="1" x14ac:dyDescent="0.25">
      <c r="A64" s="20"/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18"/>
    </row>
    <row r="65" spans="1:15" ht="12" customHeight="1" x14ac:dyDescent="0.25">
      <c r="A65" s="20"/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18"/>
    </row>
    <row r="66" spans="1:15" ht="12" customHeight="1" x14ac:dyDescent="0.25">
      <c r="A66" s="20"/>
      <c r="B66" s="21"/>
      <c r="C66" s="21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18"/>
    </row>
    <row r="67" spans="1:15" ht="12" customHeight="1" x14ac:dyDescent="0.25">
      <c r="A67" s="20"/>
      <c r="B67" s="21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18"/>
    </row>
    <row r="68" spans="1:15" ht="12" customHeight="1" x14ac:dyDescent="0.25">
      <c r="A68" s="20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18"/>
    </row>
    <row r="69" spans="1:15" ht="12" customHeight="1" x14ac:dyDescent="0.25">
      <c r="A69" s="20"/>
      <c r="B69" s="21"/>
      <c r="C69" s="21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18"/>
    </row>
    <row r="70" spans="1:15" ht="12" customHeight="1" x14ac:dyDescent="0.25">
      <c r="A70" s="20"/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18"/>
    </row>
    <row r="71" spans="1:15" ht="12" customHeight="1" x14ac:dyDescent="0.25">
      <c r="A71" s="20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18"/>
    </row>
    <row r="72" spans="1:15" ht="12" customHeight="1" x14ac:dyDescent="0.25">
      <c r="A72" s="20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18"/>
    </row>
    <row r="73" spans="1:15" ht="12" customHeight="1" x14ac:dyDescent="0.25">
      <c r="A73" s="20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18"/>
    </row>
    <row r="74" spans="1:15" ht="12" customHeight="1" x14ac:dyDescent="0.25">
      <c r="A74" s="20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18"/>
    </row>
    <row r="75" spans="1:15" ht="12" customHeight="1" x14ac:dyDescent="0.25">
      <c r="A75" s="20"/>
      <c r="B75" s="21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18"/>
    </row>
    <row r="76" spans="1:15" ht="12" customHeight="1" x14ac:dyDescent="0.25">
      <c r="A76" s="20"/>
      <c r="B76" s="21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18"/>
    </row>
    <row r="77" spans="1:15" ht="12" customHeight="1" x14ac:dyDescent="0.25">
      <c r="A77" s="20"/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18"/>
    </row>
    <row r="78" spans="1:15" ht="12" customHeight="1" x14ac:dyDescent="0.25">
      <c r="A78" s="20"/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18"/>
    </row>
    <row r="79" spans="1:15" ht="12" customHeight="1" x14ac:dyDescent="0.25">
      <c r="A79" s="20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18"/>
    </row>
    <row r="80" spans="1:15" ht="12" customHeight="1" x14ac:dyDescent="0.25">
      <c r="A80" s="20"/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18"/>
    </row>
    <row r="81" spans="1:15" ht="12" customHeight="1" x14ac:dyDescent="0.25">
      <c r="A81" s="20"/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18"/>
    </row>
    <row r="82" spans="1:15" ht="12" customHeight="1" x14ac:dyDescent="0.25">
      <c r="A82" s="20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18"/>
    </row>
    <row r="83" spans="1:15" ht="12" customHeight="1" x14ac:dyDescent="0.25">
      <c r="A83" s="20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18"/>
    </row>
    <row r="84" spans="1:15" ht="12" customHeight="1" x14ac:dyDescent="0.25">
      <c r="A84" s="20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18"/>
    </row>
    <row r="85" spans="1:15" ht="12" customHeight="1" x14ac:dyDescent="0.25">
      <c r="A85" s="20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18"/>
    </row>
    <row r="86" spans="1:15" ht="12" customHeight="1" x14ac:dyDescent="0.25">
      <c r="A86" s="20"/>
      <c r="B86" s="2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18"/>
    </row>
    <row r="87" spans="1:15" ht="12" customHeight="1" x14ac:dyDescent="0.25">
      <c r="A87" s="20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18"/>
    </row>
    <row r="88" spans="1:15" ht="12" customHeight="1" x14ac:dyDescent="0.25">
      <c r="A88" s="20"/>
      <c r="B88" s="21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18"/>
    </row>
    <row r="89" spans="1:15" ht="12" customHeight="1" x14ac:dyDescent="0.25">
      <c r="A89" s="20"/>
      <c r="B89" s="2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18"/>
    </row>
    <row r="90" spans="1:15" ht="12" customHeight="1" x14ac:dyDescent="0.25">
      <c r="A90" s="20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18"/>
    </row>
    <row r="91" spans="1:15" ht="12" customHeight="1" x14ac:dyDescent="0.25">
      <c r="A91" s="26" t="s">
        <v>12</v>
      </c>
      <c r="B91" s="27"/>
      <c r="C91" s="28"/>
      <c r="D91" s="1">
        <v>0</v>
      </c>
      <c r="E91" s="1">
        <v>1</v>
      </c>
      <c r="F91" s="1">
        <v>2</v>
      </c>
      <c r="G91" s="1">
        <v>3</v>
      </c>
      <c r="H91" s="1">
        <v>4</v>
      </c>
      <c r="I91" s="1">
        <v>5</v>
      </c>
      <c r="J91" s="1">
        <v>6</v>
      </c>
      <c r="K91" s="1">
        <v>7</v>
      </c>
      <c r="L91" s="1">
        <v>8</v>
      </c>
      <c r="M91" s="14">
        <v>9</v>
      </c>
      <c r="N91" s="14">
        <v>10</v>
      </c>
      <c r="O91" s="3">
        <v>11</v>
      </c>
    </row>
    <row r="92" spans="1:15" ht="12" customHeight="1" x14ac:dyDescent="0.25">
      <c r="A92" s="26" t="s">
        <v>13</v>
      </c>
      <c r="B92" s="27"/>
      <c r="C92" s="28"/>
      <c r="D92" s="2">
        <f ca="1">TODAY()</f>
        <v>45734</v>
      </c>
      <c r="E92" s="15"/>
      <c r="F92" s="1"/>
      <c r="G92" s="1"/>
      <c r="H92" s="1"/>
      <c r="I92" s="1"/>
      <c r="J92" s="1"/>
      <c r="K92" s="1"/>
      <c r="L92" s="1"/>
      <c r="M92" s="14"/>
      <c r="N92" s="14"/>
      <c r="O92" s="3"/>
    </row>
    <row r="93" spans="1:15" ht="12" customHeight="1" x14ac:dyDescent="0.25">
      <c r="A93" s="26" t="s">
        <v>14</v>
      </c>
      <c r="B93" s="27"/>
      <c r="C93" s="28"/>
      <c r="D93" s="1" cm="1">
        <f t="array" ref="D93">TDados[numProjeto]</f>
        <v>0</v>
      </c>
      <c r="E93" s="2"/>
      <c r="F93" s="4"/>
      <c r="G93" s="4"/>
      <c r="H93" s="4"/>
      <c r="I93" s="4"/>
      <c r="J93" s="4"/>
      <c r="K93" s="4"/>
      <c r="L93" s="4"/>
      <c r="M93" s="16"/>
      <c r="N93" s="16"/>
      <c r="O93" s="5"/>
    </row>
    <row r="94" spans="1:15" ht="12" customHeight="1" x14ac:dyDescent="0.25">
      <c r="A94" s="26" t="s">
        <v>15</v>
      </c>
      <c r="B94" s="27"/>
      <c r="C94" s="28"/>
      <c r="D94" s="2" t="s">
        <v>17</v>
      </c>
      <c r="E94" s="2"/>
      <c r="F94" s="4"/>
      <c r="G94" s="4"/>
      <c r="H94" s="4"/>
      <c r="I94" s="4"/>
      <c r="J94" s="4"/>
      <c r="K94" s="4"/>
      <c r="L94" s="4"/>
      <c r="M94" s="16"/>
      <c r="N94" s="16"/>
      <c r="O94" s="5"/>
    </row>
    <row r="95" spans="1:15" ht="12" customHeight="1" thickBot="1" x14ac:dyDescent="0.3">
      <c r="A95" s="23" t="s">
        <v>16</v>
      </c>
      <c r="B95" s="24"/>
      <c r="C95" s="25"/>
      <c r="D95" s="6" t="s">
        <v>60</v>
      </c>
      <c r="E95" s="6"/>
      <c r="F95" s="7"/>
      <c r="G95" s="7"/>
      <c r="H95" s="7"/>
      <c r="I95" s="7"/>
      <c r="J95" s="7"/>
      <c r="K95" s="7"/>
      <c r="L95" s="7"/>
      <c r="M95" s="17"/>
      <c r="N95" s="17"/>
      <c r="O95" s="8"/>
    </row>
  </sheetData>
  <mergeCells count="98">
    <mergeCell ref="A89:A90"/>
    <mergeCell ref="B89:N90"/>
    <mergeCell ref="A83:A84"/>
    <mergeCell ref="B83:N84"/>
    <mergeCell ref="A69:A70"/>
    <mergeCell ref="B69:N70"/>
    <mergeCell ref="A71:A72"/>
    <mergeCell ref="B71:N72"/>
    <mergeCell ref="A85:A86"/>
    <mergeCell ref="B85:N86"/>
    <mergeCell ref="A87:A88"/>
    <mergeCell ref="B87:N88"/>
    <mergeCell ref="A79:A80"/>
    <mergeCell ref="B79:N80"/>
    <mergeCell ref="A81:A82"/>
    <mergeCell ref="B81:N82"/>
    <mergeCell ref="A63:A64"/>
    <mergeCell ref="B63:N64"/>
    <mergeCell ref="A65:A66"/>
    <mergeCell ref="B65:N66"/>
    <mergeCell ref="A67:A68"/>
    <mergeCell ref="B67:N68"/>
    <mergeCell ref="A51:A52"/>
    <mergeCell ref="A45:A46"/>
    <mergeCell ref="A43:A44"/>
    <mergeCell ref="A49:A50"/>
    <mergeCell ref="B61:N62"/>
    <mergeCell ref="A59:A60"/>
    <mergeCell ref="B59:N60"/>
    <mergeCell ref="B49:N50"/>
    <mergeCell ref="B51:N52"/>
    <mergeCell ref="A61:A62"/>
    <mergeCell ref="A55:A56"/>
    <mergeCell ref="A57:A58"/>
    <mergeCell ref="B55:N56"/>
    <mergeCell ref="B57:N58"/>
    <mergeCell ref="B45:N46"/>
    <mergeCell ref="B47:N48"/>
    <mergeCell ref="A17:A18"/>
    <mergeCell ref="B17:N18"/>
    <mergeCell ref="A15:A16"/>
    <mergeCell ref="B15:N16"/>
    <mergeCell ref="A47:A48"/>
    <mergeCell ref="B27:N28"/>
    <mergeCell ref="B23:N24"/>
    <mergeCell ref="A21:A22"/>
    <mergeCell ref="B21:N22"/>
    <mergeCell ref="A25:A26"/>
    <mergeCell ref="A19:A20"/>
    <mergeCell ref="B19:N20"/>
    <mergeCell ref="A27:A28"/>
    <mergeCell ref="B35:N36"/>
    <mergeCell ref="A37:A38"/>
    <mergeCell ref="B37:N38"/>
    <mergeCell ref="E7:O8"/>
    <mergeCell ref="E9:O10"/>
    <mergeCell ref="A11:O12"/>
    <mergeCell ref="B13:O14"/>
    <mergeCell ref="A5:C8"/>
    <mergeCell ref="D5:D6"/>
    <mergeCell ref="D7:D8"/>
    <mergeCell ref="A9:C10"/>
    <mergeCell ref="D9:D10"/>
    <mergeCell ref="A13:A14"/>
    <mergeCell ref="E5:O6"/>
    <mergeCell ref="A1:C4"/>
    <mergeCell ref="D3:D4"/>
    <mergeCell ref="D1:H2"/>
    <mergeCell ref="I1:I2"/>
    <mergeCell ref="J1:O2"/>
    <mergeCell ref="E3:O4"/>
    <mergeCell ref="U12:U19"/>
    <mergeCell ref="A95:C95"/>
    <mergeCell ref="A91:C91"/>
    <mergeCell ref="A92:C92"/>
    <mergeCell ref="A93:C93"/>
    <mergeCell ref="A94:C94"/>
    <mergeCell ref="A29:A30"/>
    <mergeCell ref="B29:N30"/>
    <mergeCell ref="A31:A32"/>
    <mergeCell ref="B31:N32"/>
    <mergeCell ref="A33:A34"/>
    <mergeCell ref="B33:N34"/>
    <mergeCell ref="A53:O54"/>
    <mergeCell ref="B25:N26"/>
    <mergeCell ref="A23:A24"/>
    <mergeCell ref="A35:A36"/>
    <mergeCell ref="A39:A40"/>
    <mergeCell ref="B39:N40"/>
    <mergeCell ref="A41:A42"/>
    <mergeCell ref="B41:N42"/>
    <mergeCell ref="B43:N44"/>
    <mergeCell ref="A73:A74"/>
    <mergeCell ref="B73:N74"/>
    <mergeCell ref="A75:A76"/>
    <mergeCell ref="B75:N76"/>
    <mergeCell ref="A77:A78"/>
    <mergeCell ref="B77:N78"/>
  </mergeCells>
  <printOptions horizontalCentered="1"/>
  <pageMargins left="0.51181102362204722" right="0.51181102362204722" top="0.78740157480314965" bottom="0.78740157480314965" header="0.31496062992125984" footer="0.31496062992125984"/>
  <pageSetup paperSize="9" scale="6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97C2A-DA41-4005-9347-E3A59AD23516}">
  <sheetPr codeName="Planilha2">
    <pageSetUpPr fitToPage="1"/>
  </sheetPr>
  <dimension ref="A1:AC48"/>
  <sheetViews>
    <sheetView showGridLines="0" tabSelected="1" view="pageBreakPreview" topLeftCell="A31" zoomScale="85" zoomScaleNormal="85" zoomScaleSheetLayoutView="85" workbookViewId="0">
      <selection activeCell="P50" sqref="P50"/>
    </sheetView>
  </sheetViews>
  <sheetFormatPr defaultRowHeight="13.2" x14ac:dyDescent="0.25"/>
  <cols>
    <col min="1" max="1" width="3" customWidth="1"/>
    <col min="2" max="2" width="12.21875" customWidth="1"/>
    <col min="3" max="3" width="18.5546875" customWidth="1"/>
    <col min="4" max="17" width="4" customWidth="1"/>
    <col min="18" max="18" width="4.77734375" customWidth="1"/>
    <col min="19" max="21" width="4" customWidth="1"/>
  </cols>
  <sheetData>
    <row r="1" spans="1:29" x14ac:dyDescent="0.25">
      <c r="A1" s="183" t="e" vm="1">
        <f t="shared" ref="A1" si="0">_xlfn.IMAGE("https://technikgrupo.sharepoint.com/sites/transfer/Logos/Technik.png")</f>
        <v>#VALUE!</v>
      </c>
      <c r="B1" s="165"/>
      <c r="C1" s="184"/>
      <c r="D1" s="190" t="s">
        <v>0</v>
      </c>
      <c r="E1" s="191"/>
      <c r="F1" s="191"/>
      <c r="G1" s="191"/>
      <c r="H1" s="191"/>
      <c r="I1" s="191"/>
      <c r="J1" s="192"/>
      <c r="K1" s="10" t="s">
        <v>18</v>
      </c>
      <c r="L1" s="199" t="str">
        <f>"FD-"&amp;Config!D2&amp;"-"&amp;Config!F2&amp;"-001"</f>
        <v>FD---001</v>
      </c>
      <c r="M1" s="199"/>
      <c r="N1" s="199"/>
      <c r="O1" s="199"/>
      <c r="P1" s="199"/>
      <c r="Q1" s="199"/>
      <c r="R1" s="199"/>
      <c r="S1" s="199"/>
      <c r="T1" s="199"/>
      <c r="U1" s="200"/>
    </row>
    <row r="2" spans="1:29" x14ac:dyDescent="0.25">
      <c r="A2" s="185"/>
      <c r="B2" s="186"/>
      <c r="C2" s="187"/>
      <c r="D2" s="11" t="s">
        <v>19</v>
      </c>
      <c r="E2" s="201" t="s">
        <v>4</v>
      </c>
      <c r="F2" s="201"/>
      <c r="G2" s="201"/>
      <c r="H2" s="201"/>
      <c r="I2" s="201"/>
      <c r="J2" s="201"/>
      <c r="K2" s="201"/>
      <c r="L2" s="201"/>
      <c r="M2" s="201"/>
      <c r="N2" s="201"/>
      <c r="O2" s="201"/>
      <c r="P2" s="201"/>
      <c r="Q2" s="201"/>
      <c r="R2" s="201"/>
      <c r="S2" s="201"/>
      <c r="T2" s="201"/>
      <c r="U2" s="202"/>
    </row>
    <row r="3" spans="1:29" x14ac:dyDescent="0.25">
      <c r="A3" s="185"/>
      <c r="B3" s="186"/>
      <c r="C3" s="187"/>
      <c r="D3" s="193" t="s">
        <v>62</v>
      </c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5"/>
    </row>
    <row r="4" spans="1:29" ht="13.8" thickBot="1" x14ac:dyDescent="0.3">
      <c r="A4" s="188"/>
      <c r="B4" s="117"/>
      <c r="C4" s="189"/>
      <c r="D4" s="196"/>
      <c r="E4" s="197"/>
      <c r="F4" s="197"/>
      <c r="G4" s="197"/>
      <c r="H4" s="197"/>
      <c r="I4" s="197"/>
      <c r="J4" s="197"/>
      <c r="K4" s="197"/>
      <c r="L4" s="197"/>
      <c r="M4" s="197"/>
      <c r="N4" s="197"/>
      <c r="O4" s="197"/>
      <c r="P4" s="197"/>
      <c r="Q4" s="197"/>
      <c r="R4" s="197"/>
      <c r="S4" s="197"/>
      <c r="T4" s="197"/>
      <c r="U4" s="198"/>
    </row>
    <row r="5" spans="1:29" ht="20.100000000000001" customHeight="1" x14ac:dyDescent="0.25">
      <c r="A5" s="168" t="s">
        <v>20</v>
      </c>
      <c r="B5" s="169"/>
      <c r="C5" s="170"/>
      <c r="D5" s="132"/>
      <c r="E5" s="171"/>
      <c r="F5" s="171"/>
      <c r="G5" s="171"/>
      <c r="H5" s="171"/>
      <c r="I5" s="171"/>
      <c r="J5" s="171"/>
      <c r="K5" s="171"/>
      <c r="L5" s="171"/>
      <c r="M5" s="171"/>
      <c r="N5" s="171"/>
      <c r="O5" s="171"/>
      <c r="P5" s="171"/>
      <c r="Q5" s="171"/>
      <c r="R5" s="171"/>
      <c r="S5" s="171"/>
      <c r="T5" s="171"/>
      <c r="U5" s="172"/>
    </row>
    <row r="6" spans="1:29" ht="36.75" customHeight="1" x14ac:dyDescent="0.25">
      <c r="A6" s="173" t="s">
        <v>21</v>
      </c>
      <c r="B6" s="174"/>
      <c r="C6" s="174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6"/>
    </row>
    <row r="7" spans="1:29" ht="20.100000000000001" customHeight="1" thickBot="1" x14ac:dyDescent="0.3">
      <c r="A7" s="177" t="s">
        <v>22</v>
      </c>
      <c r="B7" s="178"/>
      <c r="C7" s="179"/>
      <c r="D7" s="180"/>
      <c r="E7" s="181"/>
      <c r="F7" s="181"/>
      <c r="G7" s="181"/>
      <c r="H7" s="181"/>
      <c r="I7" s="181"/>
      <c r="J7" s="181"/>
      <c r="K7" s="181"/>
      <c r="L7" s="181"/>
      <c r="M7" s="181"/>
      <c r="N7" s="181"/>
      <c r="O7" s="181"/>
      <c r="P7" s="181"/>
      <c r="Q7" s="181"/>
      <c r="R7" s="181"/>
      <c r="S7" s="181"/>
      <c r="T7" s="181"/>
      <c r="U7" s="182"/>
    </row>
    <row r="8" spans="1:29" ht="20.100000000000001" customHeight="1" x14ac:dyDescent="0.25">
      <c r="A8" s="159" t="s">
        <v>23</v>
      </c>
      <c r="B8" s="163" t="s">
        <v>24</v>
      </c>
      <c r="C8" s="95"/>
      <c r="D8" s="164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5"/>
      <c r="U8" s="166"/>
    </row>
    <row r="9" spans="1:29" ht="19.5" customHeight="1" x14ac:dyDescent="0.25">
      <c r="A9" s="160"/>
      <c r="B9" s="89" t="s">
        <v>25</v>
      </c>
      <c r="C9" s="90"/>
      <c r="D9" s="103"/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  <c r="R9" s="137"/>
      <c r="S9" s="137"/>
      <c r="T9" s="137"/>
      <c r="U9" s="138"/>
    </row>
    <row r="10" spans="1:29" ht="20.25" customHeight="1" x14ac:dyDescent="0.25">
      <c r="A10" s="161"/>
      <c r="B10" s="89" t="s">
        <v>26</v>
      </c>
      <c r="C10" s="90"/>
      <c r="D10" s="16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  <c r="S10" s="137"/>
      <c r="T10" s="137"/>
      <c r="U10" s="138"/>
    </row>
    <row r="11" spans="1:29" ht="20.100000000000001" customHeight="1" x14ac:dyDescent="0.25">
      <c r="A11" s="162"/>
      <c r="B11" s="149" t="s">
        <v>27</v>
      </c>
      <c r="C11" s="147"/>
      <c r="D11" s="150"/>
      <c r="E11" s="151"/>
      <c r="F11" s="151"/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Q11" s="151"/>
      <c r="R11" s="151"/>
      <c r="S11" s="151"/>
      <c r="T11" s="151"/>
      <c r="U11" s="152"/>
    </row>
    <row r="12" spans="1:29" ht="20.100000000000001" customHeight="1" x14ac:dyDescent="0.25">
      <c r="A12" s="162"/>
      <c r="B12" s="135" t="s">
        <v>28</v>
      </c>
      <c r="C12" s="147"/>
      <c r="D12" s="150"/>
      <c r="E12" s="151"/>
      <c r="F12" s="151"/>
      <c r="G12" s="151"/>
      <c r="H12" s="151"/>
      <c r="I12" s="151"/>
      <c r="J12" s="151"/>
      <c r="K12" s="151"/>
      <c r="L12" s="151"/>
      <c r="M12" s="151"/>
      <c r="N12" s="151"/>
      <c r="O12" s="151"/>
      <c r="P12" s="151"/>
      <c r="Q12" s="151"/>
      <c r="R12" s="151"/>
      <c r="S12" s="151"/>
      <c r="T12" s="151"/>
      <c r="U12" s="152"/>
    </row>
    <row r="13" spans="1:29" ht="20.100000000000001" customHeight="1" x14ac:dyDescent="0.25">
      <c r="A13" s="162"/>
      <c r="B13" s="135" t="s">
        <v>29</v>
      </c>
      <c r="C13" s="147"/>
      <c r="D13" s="150"/>
      <c r="E13" s="151"/>
      <c r="F13" s="151"/>
      <c r="G13" s="151"/>
      <c r="H13" s="151"/>
      <c r="I13" s="151"/>
      <c r="J13" s="151"/>
      <c r="K13" s="151"/>
      <c r="L13" s="151"/>
      <c r="M13" s="151"/>
      <c r="N13" s="151"/>
      <c r="O13" s="151"/>
      <c r="P13" s="151"/>
      <c r="Q13" s="151"/>
      <c r="R13" s="151"/>
      <c r="S13" s="151"/>
      <c r="T13" s="151"/>
      <c r="U13" s="152"/>
    </row>
    <row r="14" spans="1:29" ht="20.100000000000001" customHeight="1" x14ac:dyDescent="0.25">
      <c r="A14" s="162"/>
      <c r="B14" s="149" t="s">
        <v>30</v>
      </c>
      <c r="C14" s="147"/>
      <c r="D14" s="150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2"/>
    </row>
    <row r="15" spans="1:29" ht="20.100000000000001" customHeight="1" x14ac:dyDescent="0.25">
      <c r="A15" s="162"/>
      <c r="B15" s="149" t="s">
        <v>31</v>
      </c>
      <c r="C15" s="147"/>
      <c r="D15" s="150"/>
      <c r="E15" s="151"/>
      <c r="F15" s="151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R15" s="151"/>
      <c r="S15" s="151"/>
      <c r="T15" s="151"/>
      <c r="U15" s="152"/>
      <c r="AA15" s="19"/>
      <c r="AB15" s="22"/>
      <c r="AC15" s="19"/>
    </row>
    <row r="16" spans="1:29" ht="20.100000000000001" customHeight="1" x14ac:dyDescent="0.25">
      <c r="A16" s="162"/>
      <c r="B16" s="149" t="s">
        <v>63</v>
      </c>
      <c r="C16" s="147"/>
      <c r="D16" s="150"/>
      <c r="E16" s="151"/>
      <c r="F16" s="151"/>
      <c r="G16" s="151"/>
      <c r="H16" s="151"/>
      <c r="I16" s="151"/>
      <c r="J16" s="151"/>
      <c r="K16" s="151"/>
      <c r="L16" s="151"/>
      <c r="M16" s="151"/>
      <c r="N16" s="151"/>
      <c r="O16" s="151"/>
      <c r="P16" s="151"/>
      <c r="Q16" s="151"/>
      <c r="R16" s="151"/>
      <c r="S16" s="151"/>
      <c r="T16" s="151"/>
      <c r="U16" s="152"/>
      <c r="AA16" s="19"/>
      <c r="AB16" s="22"/>
      <c r="AC16" s="19"/>
    </row>
    <row r="17" spans="1:29" ht="20.100000000000001" customHeight="1" x14ac:dyDescent="0.25">
      <c r="A17" s="162"/>
      <c r="B17" s="149" t="s">
        <v>32</v>
      </c>
      <c r="C17" s="147"/>
      <c r="D17" s="150"/>
      <c r="E17" s="151"/>
      <c r="F17" s="151"/>
      <c r="G17" s="151"/>
      <c r="H17" s="151"/>
      <c r="I17" s="151"/>
      <c r="J17" s="151"/>
      <c r="K17" s="151"/>
      <c r="L17" s="151"/>
      <c r="M17" s="151"/>
      <c r="N17" s="151"/>
      <c r="O17" s="151"/>
      <c r="P17" s="151"/>
      <c r="Q17" s="151"/>
      <c r="R17" s="151"/>
      <c r="S17" s="151"/>
      <c r="T17" s="151"/>
      <c r="U17" s="152"/>
      <c r="AA17" s="19"/>
      <c r="AB17" s="22"/>
      <c r="AC17" s="19"/>
    </row>
    <row r="18" spans="1:29" ht="20.100000000000001" customHeight="1" x14ac:dyDescent="0.25">
      <c r="A18" s="162"/>
      <c r="B18" s="89" t="s">
        <v>33</v>
      </c>
      <c r="C18" s="90"/>
      <c r="D18" s="86"/>
      <c r="E18" s="86"/>
      <c r="F18" s="86"/>
      <c r="G18" s="86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8"/>
      <c r="AA18" s="19"/>
      <c r="AB18" s="22"/>
      <c r="AC18" s="19"/>
    </row>
    <row r="19" spans="1:29" ht="21.75" customHeight="1" thickBot="1" x14ac:dyDescent="0.3">
      <c r="A19" s="162"/>
      <c r="B19" s="154" t="s">
        <v>34</v>
      </c>
      <c r="C19" s="155"/>
      <c r="D19" s="156"/>
      <c r="E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8"/>
      <c r="AA19" s="19"/>
      <c r="AB19" s="22"/>
      <c r="AC19" s="19"/>
    </row>
    <row r="20" spans="1:29" ht="21.75" customHeight="1" x14ac:dyDescent="0.25">
      <c r="A20" s="141" t="s">
        <v>35</v>
      </c>
      <c r="B20" s="142" t="s">
        <v>36</v>
      </c>
      <c r="C20" s="143"/>
      <c r="D20" s="144"/>
      <c r="E20" s="145"/>
      <c r="F20" s="145"/>
      <c r="G20" s="145"/>
      <c r="H20" s="145"/>
      <c r="I20" s="145"/>
      <c r="J20" s="145"/>
      <c r="K20" s="145"/>
      <c r="L20" s="145"/>
      <c r="M20" s="145"/>
      <c r="N20" s="145"/>
      <c r="O20" s="145"/>
      <c r="P20" s="145"/>
      <c r="Q20" s="145"/>
      <c r="R20" s="145"/>
      <c r="S20" s="145"/>
      <c r="T20" s="145"/>
      <c r="U20" s="146"/>
      <c r="AA20" s="19"/>
      <c r="AB20" s="22"/>
      <c r="AC20" s="19"/>
    </row>
    <row r="21" spans="1:29" ht="21.75" customHeight="1" x14ac:dyDescent="0.25">
      <c r="A21" s="92"/>
      <c r="B21" s="135" t="s">
        <v>37</v>
      </c>
      <c r="C21" s="147"/>
      <c r="D21" s="148"/>
      <c r="E21" s="137"/>
      <c r="F21" s="137"/>
      <c r="G21" s="137"/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  <c r="S21" s="137"/>
      <c r="T21" s="137"/>
      <c r="U21" s="138"/>
      <c r="AA21" s="19"/>
      <c r="AB21" s="22"/>
      <c r="AC21" s="19"/>
    </row>
    <row r="22" spans="1:29" ht="21.75" customHeight="1" x14ac:dyDescent="0.25">
      <c r="A22" s="92"/>
      <c r="B22" s="135" t="s">
        <v>38</v>
      </c>
      <c r="C22" s="147"/>
      <c r="D22" s="148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37"/>
      <c r="R22" s="137"/>
      <c r="S22" s="137"/>
      <c r="T22" s="137"/>
      <c r="U22" s="138"/>
      <c r="AA22" s="19"/>
      <c r="AB22" s="22"/>
      <c r="AC22" s="19"/>
    </row>
    <row r="23" spans="1:29" ht="21.75" customHeight="1" x14ac:dyDescent="0.25">
      <c r="A23" s="92"/>
      <c r="B23" s="135" t="s">
        <v>39</v>
      </c>
      <c r="C23" s="147"/>
      <c r="D23" s="150"/>
      <c r="E23" s="151"/>
      <c r="F23" s="151"/>
      <c r="G23" s="151"/>
      <c r="H23" s="151"/>
      <c r="I23" s="151"/>
      <c r="J23" s="151"/>
      <c r="K23" s="151"/>
      <c r="L23" s="151"/>
      <c r="M23" s="151"/>
      <c r="N23" s="151"/>
      <c r="O23" s="151"/>
      <c r="P23" s="151"/>
      <c r="Q23" s="151"/>
      <c r="R23" s="151"/>
      <c r="S23" s="151"/>
      <c r="T23" s="151"/>
      <c r="U23" s="152"/>
    </row>
    <row r="24" spans="1:29" ht="21.75" customHeight="1" x14ac:dyDescent="0.25">
      <c r="A24" s="92"/>
      <c r="B24" s="89" t="s">
        <v>40</v>
      </c>
      <c r="C24" s="90"/>
      <c r="D24" s="86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7"/>
      <c r="S24" s="87"/>
      <c r="T24" s="87"/>
      <c r="U24" s="88"/>
    </row>
    <row r="25" spans="1:29" ht="21.45" customHeight="1" x14ac:dyDescent="0.25">
      <c r="A25" s="92"/>
      <c r="B25" s="89" t="s">
        <v>41</v>
      </c>
      <c r="C25" s="90"/>
      <c r="D25" s="86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88"/>
    </row>
    <row r="26" spans="1:29" ht="21.45" customHeight="1" x14ac:dyDescent="0.25">
      <c r="A26" s="92"/>
      <c r="B26" s="89" t="s">
        <v>65</v>
      </c>
      <c r="C26" s="90"/>
      <c r="D26" s="86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8"/>
    </row>
    <row r="27" spans="1:29" ht="21.45" customHeight="1" x14ac:dyDescent="0.25">
      <c r="A27" s="92"/>
      <c r="B27" s="89" t="s">
        <v>43</v>
      </c>
      <c r="C27" s="90"/>
      <c r="D27" s="86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8"/>
    </row>
    <row r="28" spans="1:29" ht="20.100000000000001" customHeight="1" thickBot="1" x14ac:dyDescent="0.3">
      <c r="A28" s="93"/>
      <c r="B28" s="139" t="s">
        <v>64</v>
      </c>
      <c r="C28" s="140"/>
      <c r="D28" s="153"/>
      <c r="E28" s="117"/>
      <c r="F28" s="117"/>
      <c r="G28" s="117"/>
      <c r="H28" s="117"/>
      <c r="I28" s="117"/>
      <c r="J28" s="117"/>
      <c r="K28" s="117"/>
      <c r="L28" s="117"/>
      <c r="M28" s="117"/>
      <c r="N28" s="117"/>
      <c r="O28" s="117"/>
      <c r="P28" s="117"/>
      <c r="Q28" s="117"/>
      <c r="R28" s="117"/>
      <c r="S28" s="117"/>
      <c r="T28" s="117"/>
      <c r="U28" s="118"/>
    </row>
    <row r="29" spans="1:29" ht="20.100000000000001" customHeight="1" x14ac:dyDescent="0.25">
      <c r="A29" s="128" t="s">
        <v>42</v>
      </c>
      <c r="B29" s="130" t="s">
        <v>44</v>
      </c>
      <c r="C29" s="131"/>
      <c r="D29" s="132"/>
      <c r="E29" s="133"/>
      <c r="F29" s="133"/>
      <c r="G29" s="133"/>
      <c r="H29" s="133"/>
      <c r="I29" s="133"/>
      <c r="J29" s="133"/>
      <c r="K29" s="133"/>
      <c r="L29" s="133"/>
      <c r="M29" s="133"/>
      <c r="N29" s="133"/>
      <c r="O29" s="133"/>
      <c r="P29" s="133"/>
      <c r="Q29" s="133"/>
      <c r="R29" s="133"/>
      <c r="S29" s="133"/>
      <c r="T29" s="133"/>
      <c r="U29" s="134"/>
    </row>
    <row r="30" spans="1:29" ht="20.100000000000001" customHeight="1" x14ac:dyDescent="0.25">
      <c r="A30" s="128"/>
      <c r="B30" s="135" t="s">
        <v>59</v>
      </c>
      <c r="C30" s="136"/>
      <c r="D30" s="103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  <c r="T30" s="137"/>
      <c r="U30" s="138"/>
    </row>
    <row r="31" spans="1:29" ht="18.75" customHeight="1" x14ac:dyDescent="0.25">
      <c r="A31" s="128"/>
      <c r="B31" s="135"/>
      <c r="C31" s="136"/>
      <c r="D31" s="103"/>
      <c r="E31" s="137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37"/>
      <c r="Q31" s="137"/>
      <c r="R31" s="137"/>
      <c r="S31" s="137"/>
      <c r="T31" s="137"/>
      <c r="U31" s="138"/>
    </row>
    <row r="32" spans="1:29" ht="18.75" customHeight="1" x14ac:dyDescent="0.25">
      <c r="A32" s="128"/>
      <c r="B32" s="135"/>
      <c r="C32" s="136"/>
      <c r="D32" s="103"/>
      <c r="E32" s="137"/>
      <c r="F32" s="137"/>
      <c r="G32" s="137"/>
      <c r="H32" s="137"/>
      <c r="I32" s="137"/>
      <c r="J32" s="137"/>
      <c r="K32" s="137"/>
      <c r="L32" s="137"/>
      <c r="M32" s="137"/>
      <c r="N32" s="137"/>
      <c r="O32" s="137"/>
      <c r="P32" s="137"/>
      <c r="Q32" s="137"/>
      <c r="R32" s="137"/>
      <c r="S32" s="137"/>
      <c r="T32" s="137"/>
      <c r="U32" s="138"/>
    </row>
    <row r="33" spans="1:21" ht="24.75" customHeight="1" thickBot="1" x14ac:dyDescent="0.3">
      <c r="A33" s="129"/>
      <c r="B33" s="139"/>
      <c r="C33" s="140"/>
      <c r="D33" s="116" t="s">
        <v>45</v>
      </c>
      <c r="E33" s="117"/>
      <c r="F33" s="117"/>
      <c r="G33" s="117"/>
      <c r="H33" s="117"/>
      <c r="I33" s="117"/>
      <c r="J33" s="117"/>
      <c r="K33" s="117"/>
      <c r="L33" s="117"/>
      <c r="M33" s="117"/>
      <c r="N33" s="117"/>
      <c r="O33" s="117"/>
      <c r="P33" s="117"/>
      <c r="Q33" s="117"/>
      <c r="R33" s="117"/>
      <c r="S33" s="117"/>
      <c r="T33" s="117"/>
      <c r="U33" s="118"/>
    </row>
    <row r="34" spans="1:21" ht="22.5" customHeight="1" x14ac:dyDescent="0.25">
      <c r="A34" s="91" t="s">
        <v>46</v>
      </c>
      <c r="B34" s="121" t="s">
        <v>47</v>
      </c>
      <c r="C34" s="122"/>
      <c r="D34" s="123" t="s">
        <v>48</v>
      </c>
      <c r="E34" s="124"/>
      <c r="F34" s="124"/>
      <c r="G34" s="124"/>
      <c r="H34" s="124"/>
      <c r="I34" s="124"/>
      <c r="J34" s="123" t="s">
        <v>49</v>
      </c>
      <c r="K34" s="124"/>
      <c r="L34" s="124"/>
      <c r="M34" s="124"/>
      <c r="N34" s="124"/>
      <c r="O34" s="124"/>
      <c r="P34" s="123" t="s">
        <v>50</v>
      </c>
      <c r="Q34" s="124"/>
      <c r="R34" s="124"/>
      <c r="S34" s="124"/>
      <c r="T34" s="124"/>
      <c r="U34" s="125"/>
    </row>
    <row r="35" spans="1:21" ht="21.75" customHeight="1" x14ac:dyDescent="0.25">
      <c r="A35" s="119"/>
      <c r="B35" s="126" t="s">
        <v>51</v>
      </c>
      <c r="C35" s="127"/>
      <c r="D35" s="103"/>
      <c r="E35" s="104"/>
      <c r="F35" s="104"/>
      <c r="G35" s="104"/>
      <c r="H35" s="104"/>
      <c r="I35" s="105"/>
      <c r="J35" s="103"/>
      <c r="K35" s="104"/>
      <c r="L35" s="104"/>
      <c r="M35" s="104"/>
      <c r="N35" s="104"/>
      <c r="O35" s="105"/>
      <c r="P35" s="103"/>
      <c r="Q35" s="104"/>
      <c r="R35" s="104"/>
      <c r="S35" s="104"/>
      <c r="T35" s="104"/>
      <c r="U35" s="106"/>
    </row>
    <row r="36" spans="1:21" ht="21.75" customHeight="1" x14ac:dyDescent="0.25">
      <c r="A36" s="119"/>
      <c r="B36" s="99" t="s">
        <v>52</v>
      </c>
      <c r="C36" s="90"/>
      <c r="D36" s="103"/>
      <c r="E36" s="104"/>
      <c r="F36" s="104"/>
      <c r="G36" s="104"/>
      <c r="H36" s="104"/>
      <c r="I36" s="105"/>
      <c r="J36" s="103"/>
      <c r="K36" s="104"/>
      <c r="L36" s="104"/>
      <c r="M36" s="104"/>
      <c r="N36" s="104"/>
      <c r="O36" s="105"/>
      <c r="P36" s="103"/>
      <c r="Q36" s="104"/>
      <c r="R36" s="104"/>
      <c r="S36" s="104"/>
      <c r="T36" s="104"/>
      <c r="U36" s="106"/>
    </row>
    <row r="37" spans="1:21" ht="21.75" customHeight="1" x14ac:dyDescent="0.25">
      <c r="A37" s="119"/>
      <c r="B37" s="99" t="s">
        <v>53</v>
      </c>
      <c r="C37" s="90"/>
      <c r="D37" s="103"/>
      <c r="E37" s="104"/>
      <c r="F37" s="104"/>
      <c r="G37" s="104"/>
      <c r="H37" s="104"/>
      <c r="I37" s="105"/>
      <c r="J37" s="103"/>
      <c r="K37" s="104"/>
      <c r="L37" s="104"/>
      <c r="M37" s="104"/>
      <c r="N37" s="104"/>
      <c r="O37" s="105"/>
      <c r="P37" s="103"/>
      <c r="Q37" s="104"/>
      <c r="R37" s="104"/>
      <c r="S37" s="104"/>
      <c r="T37" s="104"/>
      <c r="U37" s="106"/>
    </row>
    <row r="38" spans="1:21" ht="21.75" customHeight="1" x14ac:dyDescent="0.25">
      <c r="A38" s="119"/>
      <c r="B38" s="13" t="s">
        <v>54</v>
      </c>
      <c r="C38" s="12"/>
      <c r="D38" s="103"/>
      <c r="E38" s="104"/>
      <c r="F38" s="104"/>
      <c r="G38" s="104"/>
      <c r="H38" s="104"/>
      <c r="I38" s="105"/>
      <c r="J38" s="103"/>
      <c r="K38" s="104"/>
      <c r="L38" s="104"/>
      <c r="M38" s="104"/>
      <c r="N38" s="104"/>
      <c r="O38" s="105"/>
      <c r="P38" s="103"/>
      <c r="Q38" s="104"/>
      <c r="R38" s="104"/>
      <c r="S38" s="104"/>
      <c r="T38" s="104"/>
      <c r="U38" s="106"/>
    </row>
    <row r="39" spans="1:21" ht="21.75" customHeight="1" x14ac:dyDescent="0.25">
      <c r="A39" s="119"/>
      <c r="B39" s="99" t="s">
        <v>61</v>
      </c>
      <c r="C39" s="90"/>
      <c r="D39" s="103"/>
      <c r="E39" s="104"/>
      <c r="F39" s="104"/>
      <c r="G39" s="104"/>
      <c r="H39" s="104"/>
      <c r="I39" s="105"/>
      <c r="J39" s="103"/>
      <c r="K39" s="104"/>
      <c r="L39" s="104"/>
      <c r="M39" s="104"/>
      <c r="N39" s="104"/>
      <c r="O39" s="105"/>
      <c r="P39" s="103"/>
      <c r="Q39" s="104"/>
      <c r="R39" s="104"/>
      <c r="S39" s="104"/>
      <c r="T39" s="104"/>
      <c r="U39" s="106"/>
    </row>
    <row r="40" spans="1:21" ht="21.75" customHeight="1" x14ac:dyDescent="0.25">
      <c r="A40" s="119"/>
      <c r="B40" s="99" t="s">
        <v>55</v>
      </c>
      <c r="C40" s="90"/>
      <c r="D40" s="103"/>
      <c r="E40" s="104"/>
      <c r="F40" s="104"/>
      <c r="G40" s="104"/>
      <c r="H40" s="104"/>
      <c r="I40" s="105"/>
      <c r="J40" s="103"/>
      <c r="K40" s="104"/>
      <c r="L40" s="104"/>
      <c r="M40" s="104"/>
      <c r="N40" s="104"/>
      <c r="O40" s="105"/>
      <c r="P40" s="103"/>
      <c r="Q40" s="104"/>
      <c r="R40" s="104"/>
      <c r="S40" s="104"/>
      <c r="T40" s="104"/>
      <c r="U40" s="106"/>
    </row>
    <row r="41" spans="1:21" ht="23.1" customHeight="1" x14ac:dyDescent="0.25">
      <c r="A41" s="119"/>
      <c r="B41" s="99" t="s">
        <v>56</v>
      </c>
      <c r="C41" s="90"/>
      <c r="D41" s="103"/>
      <c r="E41" s="104"/>
      <c r="F41" s="104"/>
      <c r="G41" s="104"/>
      <c r="H41" s="104"/>
      <c r="I41" s="105"/>
      <c r="J41" s="103"/>
      <c r="K41" s="104"/>
      <c r="L41" s="104"/>
      <c r="M41" s="104"/>
      <c r="N41" s="104"/>
      <c r="O41" s="105"/>
      <c r="P41" s="103"/>
      <c r="Q41" s="104"/>
      <c r="R41" s="104"/>
      <c r="S41" s="104"/>
      <c r="T41" s="104"/>
      <c r="U41" s="106"/>
    </row>
    <row r="42" spans="1:21" ht="23.1" customHeight="1" thickBot="1" x14ac:dyDescent="0.3">
      <c r="A42" s="120"/>
      <c r="B42" s="107" t="s">
        <v>57</v>
      </c>
      <c r="C42" s="108"/>
      <c r="D42" s="112"/>
      <c r="E42" s="113"/>
      <c r="F42" s="113"/>
      <c r="G42" s="113"/>
      <c r="H42" s="113"/>
      <c r="I42" s="114"/>
      <c r="J42" s="112"/>
      <c r="K42" s="113"/>
      <c r="L42" s="113"/>
      <c r="M42" s="113"/>
      <c r="N42" s="113"/>
      <c r="O42" s="114"/>
      <c r="P42" s="112"/>
      <c r="Q42" s="113"/>
      <c r="R42" s="113"/>
      <c r="S42" s="113"/>
      <c r="T42" s="113"/>
      <c r="U42" s="115"/>
    </row>
    <row r="43" spans="1:21" ht="23.1" customHeight="1" x14ac:dyDescent="0.25">
      <c r="A43" s="91" t="s">
        <v>58</v>
      </c>
      <c r="B43" s="94"/>
      <c r="C43" s="95"/>
      <c r="D43" s="96"/>
      <c r="E43" s="97"/>
      <c r="F43" s="97"/>
      <c r="G43" s="97"/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  <c r="S43" s="97"/>
      <c r="T43" s="97"/>
      <c r="U43" s="98"/>
    </row>
    <row r="44" spans="1:21" ht="23.1" customHeight="1" x14ac:dyDescent="0.25">
      <c r="A44" s="92"/>
      <c r="B44" s="99"/>
      <c r="C44" s="90"/>
      <c r="D44" s="100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  <c r="S44" s="101"/>
      <c r="T44" s="101"/>
      <c r="U44" s="102"/>
    </row>
    <row r="45" spans="1:21" ht="23.1" customHeight="1" x14ac:dyDescent="0.25">
      <c r="A45" s="92"/>
      <c r="B45" s="99"/>
      <c r="C45" s="90"/>
      <c r="D45" s="100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  <c r="S45" s="101"/>
      <c r="T45" s="101"/>
      <c r="U45" s="102"/>
    </row>
    <row r="46" spans="1:21" ht="21.75" customHeight="1" x14ac:dyDescent="0.25">
      <c r="A46" s="92"/>
      <c r="B46" s="99"/>
      <c r="C46" s="90"/>
      <c r="D46" s="100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  <c r="S46" s="101"/>
      <c r="T46" s="101"/>
      <c r="U46" s="102"/>
    </row>
    <row r="47" spans="1:21" ht="21.75" customHeight="1" x14ac:dyDescent="0.25">
      <c r="A47" s="92"/>
      <c r="B47" s="99"/>
      <c r="C47" s="90"/>
      <c r="D47" s="100"/>
      <c r="E47" s="101"/>
      <c r="F47" s="101"/>
      <c r="G47" s="101"/>
      <c r="H47" s="101"/>
      <c r="I47" s="101"/>
      <c r="J47" s="101"/>
      <c r="K47" s="101"/>
      <c r="L47" s="101"/>
      <c r="M47" s="101"/>
      <c r="N47" s="101"/>
      <c r="O47" s="101"/>
      <c r="P47" s="101"/>
      <c r="Q47" s="101"/>
      <c r="R47" s="101"/>
      <c r="S47" s="101"/>
      <c r="T47" s="101"/>
      <c r="U47" s="102"/>
    </row>
    <row r="48" spans="1:21" ht="21.75" customHeight="1" thickBot="1" x14ac:dyDescent="0.3">
      <c r="A48" s="93"/>
      <c r="B48" s="107"/>
      <c r="C48" s="108"/>
      <c r="D48" s="109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1"/>
    </row>
  </sheetData>
  <mergeCells count="116">
    <mergeCell ref="A5:C5"/>
    <mergeCell ref="D5:U5"/>
    <mergeCell ref="A6:C6"/>
    <mergeCell ref="D6:U6"/>
    <mergeCell ref="A7:C7"/>
    <mergeCell ref="D7:U7"/>
    <mergeCell ref="A1:C4"/>
    <mergeCell ref="D1:J1"/>
    <mergeCell ref="D3:U4"/>
    <mergeCell ref="L1:U1"/>
    <mergeCell ref="E2:U2"/>
    <mergeCell ref="D12:U12"/>
    <mergeCell ref="B13:C13"/>
    <mergeCell ref="D13:U13"/>
    <mergeCell ref="B14:C14"/>
    <mergeCell ref="D14:U14"/>
    <mergeCell ref="B15:C15"/>
    <mergeCell ref="D15:U15"/>
    <mergeCell ref="A8:A19"/>
    <mergeCell ref="B8:C8"/>
    <mergeCell ref="D8:U8"/>
    <mergeCell ref="B9:C9"/>
    <mergeCell ref="D9:U9"/>
    <mergeCell ref="B10:C10"/>
    <mergeCell ref="D10:U10"/>
    <mergeCell ref="B11:C11"/>
    <mergeCell ref="D11:U11"/>
    <mergeCell ref="B12:C12"/>
    <mergeCell ref="A20:A28"/>
    <mergeCell ref="B20:C20"/>
    <mergeCell ref="D20:U20"/>
    <mergeCell ref="B21:C21"/>
    <mergeCell ref="D21:U21"/>
    <mergeCell ref="B22:C22"/>
    <mergeCell ref="D22:U22"/>
    <mergeCell ref="B23:C23"/>
    <mergeCell ref="B16:C16"/>
    <mergeCell ref="D16:U16"/>
    <mergeCell ref="B17:C17"/>
    <mergeCell ref="D17:U17"/>
    <mergeCell ref="B18:C18"/>
    <mergeCell ref="D18:U18"/>
    <mergeCell ref="D23:U23"/>
    <mergeCell ref="B24:C24"/>
    <mergeCell ref="D24:U24"/>
    <mergeCell ref="B25:C25"/>
    <mergeCell ref="D25:U25"/>
    <mergeCell ref="B28:C28"/>
    <mergeCell ref="D28:U28"/>
    <mergeCell ref="B19:C19"/>
    <mergeCell ref="D19:U19"/>
    <mergeCell ref="B26:C26"/>
    <mergeCell ref="D33:U33"/>
    <mergeCell ref="A34:A42"/>
    <mergeCell ref="B34:C34"/>
    <mergeCell ref="D34:I34"/>
    <mergeCell ref="J34:O34"/>
    <mergeCell ref="P34:U34"/>
    <mergeCell ref="B35:C35"/>
    <mergeCell ref="D35:I35"/>
    <mergeCell ref="J35:O35"/>
    <mergeCell ref="P35:U35"/>
    <mergeCell ref="A29:A33"/>
    <mergeCell ref="B29:C29"/>
    <mergeCell ref="D29:U29"/>
    <mergeCell ref="B30:C30"/>
    <mergeCell ref="D30:U30"/>
    <mergeCell ref="B31:C31"/>
    <mergeCell ref="D31:U31"/>
    <mergeCell ref="B32:C32"/>
    <mergeCell ref="D32:U32"/>
    <mergeCell ref="B33:C33"/>
    <mergeCell ref="D38:I38"/>
    <mergeCell ref="J38:O38"/>
    <mergeCell ref="P38:U38"/>
    <mergeCell ref="B39:C39"/>
    <mergeCell ref="D48:U48"/>
    <mergeCell ref="B42:C42"/>
    <mergeCell ref="D42:I42"/>
    <mergeCell ref="J42:O42"/>
    <mergeCell ref="D39:I39"/>
    <mergeCell ref="J39:O39"/>
    <mergeCell ref="P39:U39"/>
    <mergeCell ref="B36:C36"/>
    <mergeCell ref="D36:I36"/>
    <mergeCell ref="J36:O36"/>
    <mergeCell ref="P36:U36"/>
    <mergeCell ref="B37:C37"/>
    <mergeCell ref="D37:I37"/>
    <mergeCell ref="J37:O37"/>
    <mergeCell ref="P37:U37"/>
    <mergeCell ref="P42:U42"/>
    <mergeCell ref="AB15:AB22"/>
    <mergeCell ref="D26:U26"/>
    <mergeCell ref="B27:C27"/>
    <mergeCell ref="D27:U27"/>
    <mergeCell ref="A43:A48"/>
    <mergeCell ref="B43:C43"/>
    <mergeCell ref="D43:U43"/>
    <mergeCell ref="B44:C44"/>
    <mergeCell ref="D44:U44"/>
    <mergeCell ref="B45:C45"/>
    <mergeCell ref="B40:C40"/>
    <mergeCell ref="D40:I40"/>
    <mergeCell ref="J40:O40"/>
    <mergeCell ref="P40:U40"/>
    <mergeCell ref="B41:C41"/>
    <mergeCell ref="D41:I41"/>
    <mergeCell ref="J41:O41"/>
    <mergeCell ref="P41:U41"/>
    <mergeCell ref="D45:U45"/>
    <mergeCell ref="B46:C46"/>
    <mergeCell ref="D46:U46"/>
    <mergeCell ref="B47:C47"/>
    <mergeCell ref="D47:U47"/>
    <mergeCell ref="B48:C48"/>
  </mergeCells>
  <printOptions horizontalCentered="1"/>
  <pageMargins left="0.25" right="0.25" top="0.75" bottom="0.75" header="0.3" footer="0.3"/>
  <pageSetup paperSize="9" scale="77"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iente xmlns="1b146853-cbf1-4f8c-b6d7-58284d252a4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039DBD687C496499E8079BFA864F9E5" ma:contentTypeVersion="15" ma:contentTypeDescription="Crie um novo documento." ma:contentTypeScope="" ma:versionID="c77902e30dbd1058af1697474441ff5a">
  <xsd:schema xmlns:xsd="http://www.w3.org/2001/XMLSchema" xmlns:xs="http://www.w3.org/2001/XMLSchema" xmlns:p="http://schemas.microsoft.com/office/2006/metadata/properties" xmlns:ns2="1b146853-cbf1-4f8c-b6d7-58284d252a43" xmlns:ns3="481d72a1-0c07-4ee4-a4a5-4b1621f6ccc9" targetNamespace="http://schemas.microsoft.com/office/2006/metadata/properties" ma:root="true" ma:fieldsID="db9d5abbceef78549b3ce491e9bc3e5f" ns2:_="" ns3:_="">
    <xsd:import namespace="1b146853-cbf1-4f8c-b6d7-58284d252a43"/>
    <xsd:import namespace="481d72a1-0c07-4ee4-a4a5-4b1621f6cc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Cliente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146853-cbf1-4f8c-b6d7-58284d252a4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Length (seconds)" ma:internalName="MediaLengthInSeconds" ma:readOnly="true">
      <xsd:simpleType>
        <xsd:restriction base="dms:Unknown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Cliente" ma:index="18" nillable="true" ma:displayName="Cliente" ma:internalName="Cliente">
      <xsd:simpleType>
        <xsd:restriction base="dms:Text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1d72a1-0c07-4ee4-a4a5-4b1621f6ccc9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DD787DA-03FA-4855-9BA5-0C7681A48858}">
  <ds:schemaRefs>
    <ds:schemaRef ds:uri="http://purl.org/dc/dcmitype/"/>
    <ds:schemaRef ds:uri="09800482-4cb0-41a3-85e1-23f7b0b2224e"/>
    <ds:schemaRef ds:uri="http://schemas.microsoft.com/office/2006/documentManagement/types"/>
    <ds:schemaRef ds:uri="http://purl.org/dc/terms/"/>
    <ds:schemaRef ds:uri="http://schemas.microsoft.com/office/2006/metadata/properties"/>
    <ds:schemaRef ds:uri="http://schemas.openxmlformats.org/package/2006/metadata/core-properties"/>
    <ds:schemaRef ds:uri="e4d7e4c3-b78f-4756-8feb-bf68a8958333"/>
    <ds:schemaRef ds:uri="http://purl.org/dc/elements/1.1/"/>
    <ds:schemaRef ds:uri="http://schemas.microsoft.com/office/infopath/2007/PartnerControls"/>
    <ds:schemaRef ds:uri="http://www.w3.org/XML/1998/namespace"/>
    <ds:schemaRef ds:uri="1b146853-cbf1-4f8c-b6d7-58284d252a43"/>
  </ds:schemaRefs>
</ds:datastoreItem>
</file>

<file path=customXml/itemProps2.xml><?xml version="1.0" encoding="utf-8"?>
<ds:datastoreItem xmlns:ds="http://schemas.openxmlformats.org/officeDocument/2006/customXml" ds:itemID="{F8A2920B-9B45-410D-9F50-057B8C7FB9C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27330B3-BFC8-4438-90E7-E49B71A801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b146853-cbf1-4f8c-b6d7-58284d252a43"/>
    <ds:schemaRef ds:uri="481d72a1-0c07-4ee4-a4a5-4b1621f6cc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6</vt:i4>
      </vt:variant>
    </vt:vector>
  </HeadingPairs>
  <TitlesOfParts>
    <vt:vector size="9" baseType="lpstr">
      <vt:lpstr>Config</vt:lpstr>
      <vt:lpstr>Capa</vt:lpstr>
      <vt:lpstr>Folhas</vt:lpstr>
      <vt:lpstr>Capa!Area_de_impressao</vt:lpstr>
      <vt:lpstr>Folhas!Area_de_impressao</vt:lpstr>
      <vt:lpstr>LogoClienteCapa</vt:lpstr>
      <vt:lpstr>LogoTechnikCapa</vt:lpstr>
      <vt:lpstr>Folhas!LogoTechnikFolha</vt:lpstr>
      <vt:lpstr>NomeDoc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VITORINO</dc:creator>
  <cp:lastModifiedBy>Hugo Lima de Oliveira</cp:lastModifiedBy>
  <cp:revision/>
  <cp:lastPrinted>2023-09-19T13:28:48Z</cp:lastPrinted>
  <dcterms:created xsi:type="dcterms:W3CDTF">2021-12-09T12:49:37Z</dcterms:created>
  <dcterms:modified xsi:type="dcterms:W3CDTF">2025-03-18T17:59:25Z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0x0101009039DBD687C496499E8079BFA864F9E5</vt:lpwstr>
  </property>
  <property fmtid="{D5CDD505-2E9C-101B-9397-08002B2CF9AE}" pid="3" name="MediaServiceImageTags">
    <vt:lpwstr/>
  </property>
</Properties>
</file>