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EstaPastaDeTrabalho"/>
  <bookViews>
    <workbookView visibility="visible" minimized="0" showHorizontalScroll="1" showVerticalScroll="1" showSheetTabs="1" xWindow="-108" yWindow="-108" windowWidth="23256" windowHeight="12456" tabRatio="778" firstSheet="1" activeTab="2" autoFilterDateGrouping="1"/>
  </bookViews>
  <sheets>
    <sheet name="Config" sheetId="1" state="hidden" r:id="rId1"/>
    <sheet name="Capa" sheetId="2" state="visible" r:id="rId2"/>
    <sheet name="Folhas" sheetId="3" state="visible" r:id="rId3"/>
    <sheet name="XV-1701.9" sheetId="4" state="visible" r:id="rId4"/>
    <sheet name="XV-1702.10" sheetId="5" state="visible" r:id="rId5"/>
    <sheet name="XV-1702.9" sheetId="6" state="visible" r:id="rId6"/>
    <sheet name="XV-1710.3" sheetId="7" state="visible" r:id="rId7"/>
    <sheet name="XV-1710.4" sheetId="8" state="visible" r:id="rId8"/>
    <sheet name="XV-1710.5" sheetId="9" state="visible" r:id="rId9"/>
    <sheet name="XV-1710.6" sheetId="10" state="visible" r:id="rId10"/>
    <sheet name="XV-1710.7" sheetId="11" state="visible" r:id="rId11"/>
    <sheet name="XV-1710.8" sheetId="12" state="visible" r:id="rId12"/>
    <sheet name="XV-1715.1" sheetId="13" state="visible" r:id="rId13"/>
    <sheet name="XV-1715.2" sheetId="14" state="visible" r:id="rId14"/>
    <sheet name="XV-1715.3" sheetId="15" state="visible" r:id="rId15"/>
    <sheet name="XV-1715.4" sheetId="16" state="visible" r:id="rId16"/>
    <sheet name="XV-1715.5" sheetId="17" state="visible" r:id="rId17"/>
    <sheet name="XV-1715.6" sheetId="18" state="visible" r:id="rId18"/>
    <sheet name="XV-1715.7" sheetId="19" state="visible" r:id="rId19"/>
  </sheets>
  <definedNames>
    <definedName name="LogoClienteCapa">Capa!$A$1:$C$4</definedName>
    <definedName name="LogoTechnikCapa">Capa!$A$5:$C$8</definedName>
    <definedName name="NomeDoc">Capa!$J$1</definedName>
    <definedName name="_xlnm.Print_Area" localSheetId="1">'Capa'!$A$1:$O$84</definedName>
    <definedName name="LogoTechnikFolha" localSheetId="2">Folhas!$A$1:$A$4</definedName>
    <definedName name="_xlnm.Print_Area" localSheetId="2">'Folhas'!$A$1:$S$43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22">
    <font>
      <name val="Arial"/>
      <sz val="10"/>
    </font>
    <font>
      <name val="Arial"/>
      <family val="2"/>
      <b val="1"/>
      <sz val="10"/>
    </font>
    <font>
      <name val="Arial"/>
      <family val="2"/>
      <b val="1"/>
      <sz val="12"/>
    </font>
    <font>
      <name val="Penguin-Light-Normal"/>
      <b val="1"/>
      <i val="1"/>
      <sz val="11"/>
    </font>
    <font>
      <name val="Arial Narrow"/>
      <family val="2"/>
      <sz val="7"/>
    </font>
    <font>
      <name val="Penguin-Light-Normal"/>
      <i val="1"/>
      <sz val="8"/>
    </font>
    <font>
      <name val="Arial"/>
      <family val="2"/>
      <sz val="8"/>
    </font>
    <font>
      <name val="Arial"/>
      <family val="2"/>
      <b val="1"/>
      <sz val="7"/>
    </font>
    <font>
      <name val="Arial"/>
      <family val="2"/>
      <sz val="10"/>
    </font>
    <font>
      <name val="Arial"/>
      <family val="2"/>
      <i val="1"/>
      <sz val="8"/>
    </font>
    <font>
      <name val="Arial"/>
      <family val="2"/>
      <b val="1"/>
      <sz val="8"/>
    </font>
    <font>
      <name val="Arial"/>
      <family val="2"/>
      <b val="1"/>
      <sz val="11"/>
    </font>
    <font>
      <name val="Arial"/>
      <family val="2"/>
      <i val="1"/>
      <color indexed="8"/>
      <sz val="11"/>
    </font>
    <font>
      <name val="Arial"/>
      <family val="2"/>
      <i val="1"/>
      <color indexed="8"/>
      <sz val="10"/>
    </font>
    <font>
      <name val="Arial"/>
      <family val="2"/>
      <sz val="6"/>
    </font>
    <font>
      <name val="Arial"/>
      <family val="2"/>
      <b val="1"/>
      <color rgb="FFFF0000"/>
      <sz val="10"/>
    </font>
    <font>
      <name val="Arial"/>
      <family val="2"/>
      <color rgb="FF000000"/>
      <sz val="8"/>
    </font>
    <font>
      <name val="Arial"/>
      <family val="2"/>
      <color rgb="FF000000"/>
      <sz val="11"/>
    </font>
    <font>
      <name val="Arial"/>
      <family val="2"/>
      <color rgb="FF000000"/>
      <sz val="10"/>
    </font>
    <font>
      <name val="Arial"/>
      <family val="2"/>
      <color rgb="FF000000"/>
      <sz val="9"/>
    </font>
    <font>
      <name val="Arial"/>
      <family val="2"/>
      <sz val="12"/>
    </font>
    <font>
      <name val="Arial"/>
      <color theme="10"/>
      <sz val="10"/>
      <u val="single"/>
    </font>
  </fonts>
  <fills count="4">
    <fill>
      <patternFill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</fills>
  <borders count="7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3" fillId="0" borderId="0"/>
    <xf numFmtId="0" fontId="4" fillId="0" borderId="0" applyAlignment="1">
      <alignment horizontal="left"/>
    </xf>
    <xf numFmtId="0" fontId="5" fillId="0" borderId="1"/>
    <xf numFmtId="0" fontId="6" fillId="0" borderId="1" applyAlignment="1">
      <alignment vertical="center"/>
    </xf>
    <xf numFmtId="0" fontId="7" fillId="0" borderId="0"/>
    <xf numFmtId="0" fontId="8" fillId="0" borderId="0"/>
    <xf numFmtId="0" fontId="21" fillId="0" borderId="0"/>
  </cellStyleXfs>
  <cellXfs count="236">
    <xf numFmtId="0" fontId="0" fillId="0" borderId="0" pivotButton="0" quotePrefix="0" xfId="0"/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left"/>
    </xf>
    <xf numFmtId="0" fontId="0" fillId="0" borderId="2" applyAlignment="1" pivotButton="0" quotePrefix="0" xfId="0">
      <alignment horizontal="center"/>
    </xf>
    <xf numFmtId="0" fontId="8" fillId="0" borderId="3" applyAlignment="1" pivotButton="0" quotePrefix="0" xfId="0">
      <alignment horizontal="center"/>
    </xf>
    <xf numFmtId="0" fontId="8" fillId="0" borderId="2" applyAlignment="1" pivotButton="0" quotePrefix="0" xfId="0">
      <alignment horizontal="center"/>
    </xf>
    <xf numFmtId="0" fontId="0" fillId="0" borderId="4" applyAlignment="1" pivotButton="0" quotePrefix="0" xfId="0">
      <alignment horizontal="center"/>
    </xf>
    <xf numFmtId="0" fontId="15" fillId="0" borderId="0" applyAlignment="1" pivotButton="0" quotePrefix="0" xfId="0">
      <alignment vertical="center"/>
    </xf>
    <xf numFmtId="0" fontId="6" fillId="0" borderId="5" applyAlignment="1" pivotButton="0" quotePrefix="0" xfId="6">
      <alignment horizontal="center" vertical="center"/>
    </xf>
    <xf numFmtId="14" fontId="6" fillId="0" borderId="5" applyAlignment="1" pivotButton="0" quotePrefix="0" xfId="6">
      <alignment horizontal="center" vertical="center"/>
    </xf>
    <xf numFmtId="0" fontId="6" fillId="0" borderId="6" applyAlignment="1" pivotButton="0" quotePrefix="0" xfId="6">
      <alignment horizontal="center" vertical="center"/>
    </xf>
    <xf numFmtId="0" fontId="6" fillId="0" borderId="5" applyAlignment="1" pivotButton="0" quotePrefix="0" xfId="6">
      <alignment vertical="center"/>
    </xf>
    <xf numFmtId="0" fontId="6" fillId="0" borderId="6" applyAlignment="1" pivotButton="0" quotePrefix="0" xfId="6">
      <alignment vertical="center"/>
    </xf>
    <xf numFmtId="14" fontId="6" fillId="0" borderId="7" applyAlignment="1" pivotButton="0" quotePrefix="0" xfId="6">
      <alignment horizontal="center" vertical="center"/>
    </xf>
    <xf numFmtId="0" fontId="6" fillId="0" borderId="7" applyAlignment="1" pivotButton="0" quotePrefix="0" xfId="6">
      <alignment vertical="center"/>
    </xf>
    <xf numFmtId="0" fontId="6" fillId="0" borderId="8" applyAlignment="1" pivotButton="0" quotePrefix="0" xfId="6">
      <alignment vertical="center"/>
    </xf>
    <xf numFmtId="0" fontId="0" fillId="0" borderId="9" applyAlignment="1" pivotButton="0" quotePrefix="0" xfId="0">
      <alignment horizontal="center"/>
    </xf>
    <xf numFmtId="0" fontId="0" fillId="0" borderId="10" applyAlignment="1" pivotButton="0" quotePrefix="0" xfId="0">
      <alignment horizontal="center"/>
    </xf>
    <xf numFmtId="0" fontId="0" fillId="0" borderId="11" applyAlignment="1" pivotButton="0" quotePrefix="0" xfId="0">
      <alignment horizontal="center"/>
    </xf>
    <xf numFmtId="0" fontId="14" fillId="0" borderId="12" applyAlignment="1" pivotButton="0" quotePrefix="0" xfId="0">
      <alignment vertical="top"/>
    </xf>
    <xf numFmtId="0" fontId="14" fillId="0" borderId="14" applyAlignment="1" pivotButton="0" quotePrefix="0" xfId="0">
      <alignment vertical="top"/>
    </xf>
    <xf numFmtId="0" fontId="6" fillId="0" borderId="0" applyAlignment="1" pivotButton="0" quotePrefix="0" xfId="6">
      <alignment vertical="center"/>
    </xf>
    <xf numFmtId="0" fontId="21" fillId="0" borderId="0" pivotButton="0" quotePrefix="0" xfId="7"/>
    <xf numFmtId="0" fontId="16" fillId="0" borderId="17" applyAlignment="1" pivotButton="0" quotePrefix="0" xfId="6">
      <alignment horizontal="center" vertical="center" wrapText="1"/>
    </xf>
    <xf numFmtId="0" fontId="16" fillId="0" borderId="3" applyAlignment="1" pivotButton="0" quotePrefix="0" xfId="6">
      <alignment horizontal="center" vertical="center" wrapText="1"/>
    </xf>
    <xf numFmtId="0" fontId="16" fillId="0" borderId="0" applyAlignment="1" pivotButton="0" quotePrefix="0" xfId="6">
      <alignment horizontal="left" vertical="center" wrapText="1"/>
    </xf>
    <xf numFmtId="0" fontId="17" fillId="0" borderId="11" applyAlignment="1" pivotButton="0" quotePrefix="0" xfId="6">
      <alignment horizontal="center" vertical="center" wrapText="1"/>
    </xf>
    <xf numFmtId="0" fontId="17" fillId="0" borderId="22" applyAlignment="1" pivotButton="0" quotePrefix="0" xfId="6">
      <alignment horizontal="center" vertical="center" wrapText="1"/>
    </xf>
    <xf numFmtId="0" fontId="17" fillId="0" borderId="40" applyAlignment="1" pivotButton="0" quotePrefix="0" xfId="6">
      <alignment horizontal="center" vertical="center" wrapText="1"/>
    </xf>
    <xf numFmtId="0" fontId="17" fillId="0" borderId="4" applyAlignment="1" pivotButton="0" quotePrefix="0" xfId="6">
      <alignment horizontal="center" vertical="center" wrapText="1"/>
    </xf>
    <xf numFmtId="0" fontId="17" fillId="0" borderId="7" applyAlignment="1" pivotButton="0" quotePrefix="0" xfId="6">
      <alignment horizontal="center" vertical="center" wrapText="1"/>
    </xf>
    <xf numFmtId="0" fontId="17" fillId="0" borderId="8" applyAlignment="1" pivotButton="0" quotePrefix="0" xfId="6">
      <alignment horizontal="center" vertical="center" wrapText="1"/>
    </xf>
    <xf numFmtId="0" fontId="6" fillId="0" borderId="41" applyAlignment="1" pivotButton="0" quotePrefix="0" xfId="6">
      <alignment horizontal="left" vertical="center"/>
    </xf>
    <xf numFmtId="0" fontId="6" fillId="0" borderId="15" applyAlignment="1" pivotButton="0" quotePrefix="0" xfId="6">
      <alignment horizontal="left" vertical="center"/>
    </xf>
    <xf numFmtId="0" fontId="6" fillId="0" borderId="42" applyAlignment="1" pivotButton="0" quotePrefix="0" xfId="6">
      <alignment horizontal="left" vertical="center"/>
    </xf>
    <xf numFmtId="0" fontId="6" fillId="0" borderId="43" applyAlignment="1" pivotButton="0" quotePrefix="0" xfId="6">
      <alignment horizontal="left" vertical="center"/>
    </xf>
    <xf numFmtId="0" fontId="6" fillId="0" borderId="44" applyAlignment="1" pivotButton="0" quotePrefix="0" xfId="6">
      <alignment horizontal="left" vertical="center"/>
    </xf>
    <xf numFmtId="0" fontId="6" fillId="0" borderId="45" applyAlignment="1" pivotButton="0" quotePrefix="0" xfId="6">
      <alignment horizontal="left" vertical="center"/>
    </xf>
    <xf numFmtId="49" fontId="2" fillId="0" borderId="13" applyAlignment="1" pivotButton="0" quotePrefix="0" xfId="6">
      <alignment horizontal="center" vertical="center"/>
    </xf>
    <xf numFmtId="49" fontId="2" fillId="0" borderId="19" applyAlignment="1" pivotButton="0" quotePrefix="0" xfId="6">
      <alignment horizontal="center" vertical="center"/>
    </xf>
    <xf numFmtId="49" fontId="2" fillId="0" borderId="62" applyAlignment="1" pivotButton="0" quotePrefix="0" xfId="6">
      <alignment horizontal="center" vertical="center"/>
    </xf>
    <xf numFmtId="49" fontId="2" fillId="0" borderId="23" applyAlignment="1" pivotButton="0" quotePrefix="0" xfId="6">
      <alignment horizontal="center" vertical="center"/>
    </xf>
    <xf numFmtId="49" fontId="2" fillId="0" borderId="0" applyAlignment="1" pivotButton="0" quotePrefix="0" xfId="6">
      <alignment horizontal="center" vertical="center"/>
    </xf>
    <xf numFmtId="49" fontId="2" fillId="0" borderId="31" applyAlignment="1" pivotButton="0" quotePrefix="0" xfId="6">
      <alignment horizontal="center" vertical="center"/>
    </xf>
    <xf numFmtId="49" fontId="20" fillId="0" borderId="13" applyAlignment="1" pivotButton="0" quotePrefix="0" xfId="6">
      <alignment horizontal="left" vertical="top"/>
    </xf>
    <xf numFmtId="49" fontId="2" fillId="0" borderId="57" applyAlignment="1" pivotButton="0" quotePrefix="0" xfId="6">
      <alignment horizontal="left" vertical="top"/>
    </xf>
    <xf numFmtId="0" fontId="6" fillId="0" borderId="18" applyAlignment="1" pivotButton="0" quotePrefix="0" xfId="6">
      <alignment horizontal="center" vertical="center"/>
    </xf>
    <xf numFmtId="0" fontId="6" fillId="0" borderId="19" applyAlignment="1" pivotButton="0" quotePrefix="0" xfId="6">
      <alignment horizontal="center" vertical="center"/>
    </xf>
    <xf numFmtId="0" fontId="6" fillId="0" borderId="3" applyAlignment="1" pivotButton="0" quotePrefix="0" xfId="6">
      <alignment horizontal="center" vertical="center"/>
    </xf>
    <xf numFmtId="0" fontId="6" fillId="0" borderId="0" applyAlignment="1" pivotButton="0" quotePrefix="0" xfId="6">
      <alignment horizontal="center" vertical="center"/>
    </xf>
    <xf numFmtId="0" fontId="6" fillId="0" borderId="20" applyAlignment="1" pivotButton="0" quotePrefix="0" xfId="6">
      <alignment horizontal="center" vertical="center"/>
    </xf>
    <xf numFmtId="0" fontId="6" fillId="0" borderId="21" applyAlignment="1" pivotButton="0" quotePrefix="0" xfId="6">
      <alignment horizontal="center" vertical="center"/>
    </xf>
    <xf numFmtId="49" fontId="6" fillId="0" borderId="14" applyAlignment="1" pivotButton="0" quotePrefix="0" xfId="6">
      <alignment horizontal="left" vertical="top" wrapText="1"/>
    </xf>
    <xf numFmtId="49" fontId="6" fillId="0" borderId="14" applyAlignment="1" pivotButton="0" quotePrefix="0" xfId="6">
      <alignment horizontal="left" vertical="top"/>
    </xf>
    <xf numFmtId="0" fontId="8" fillId="0" borderId="26" applyAlignment="1" pivotButton="0" quotePrefix="0" xfId="6">
      <alignment horizontal="center" vertical="center"/>
    </xf>
    <xf numFmtId="0" fontId="8" fillId="0" borderId="27" applyAlignment="1" pivotButton="0" quotePrefix="0" xfId="6">
      <alignment horizontal="center" vertical="center"/>
    </xf>
    <xf numFmtId="0" fontId="8" fillId="0" borderId="1" applyAlignment="1" pivotButton="0" quotePrefix="0" xfId="6">
      <alignment horizontal="center" vertical="center"/>
    </xf>
    <xf numFmtId="0" fontId="8" fillId="0" borderId="25" applyAlignment="1" pivotButton="0" quotePrefix="0" xfId="6">
      <alignment horizontal="center" vertical="center"/>
    </xf>
    <xf numFmtId="0" fontId="6" fillId="0" borderId="28" applyAlignment="1" pivotButton="0" quotePrefix="0" xfId="6">
      <alignment horizontal="center" vertical="center"/>
    </xf>
    <xf numFmtId="0" fontId="6" fillId="0" borderId="29" applyAlignment="1" pivotButton="0" quotePrefix="0" xfId="6">
      <alignment horizontal="center" vertical="center"/>
    </xf>
    <xf numFmtId="0" fontId="6" fillId="0" borderId="30" applyAlignment="1" pivotButton="0" quotePrefix="0" xfId="6">
      <alignment horizontal="center" vertical="center"/>
    </xf>
    <xf numFmtId="0" fontId="6" fillId="0" borderId="31" applyAlignment="1" pivotButton="0" quotePrefix="0" xfId="6">
      <alignment horizontal="center" vertical="center"/>
    </xf>
    <xf numFmtId="0" fontId="6" fillId="0" borderId="32" applyAlignment="1" pivotButton="0" quotePrefix="0" xfId="6">
      <alignment horizontal="center" vertical="center"/>
    </xf>
    <xf numFmtId="0" fontId="8" fillId="0" borderId="0" applyAlignment="1" pivotButton="0" quotePrefix="0" xfId="6">
      <alignment horizontal="center" vertical="center"/>
    </xf>
    <xf numFmtId="0" fontId="8" fillId="0" borderId="17" applyAlignment="1" pivotButton="0" quotePrefix="0" xfId="6">
      <alignment horizontal="center" vertical="center"/>
    </xf>
    <xf numFmtId="49" fontId="8" fillId="0" borderId="26" applyAlignment="1" pivotButton="0" quotePrefix="0" xfId="6">
      <alignment horizontal="center" vertical="center"/>
    </xf>
    <xf numFmtId="49" fontId="8" fillId="0" borderId="27" applyAlignment="1" pivotButton="0" quotePrefix="0" xfId="6">
      <alignment horizontal="center" vertical="center"/>
    </xf>
    <xf numFmtId="49" fontId="8" fillId="0" borderId="1" applyAlignment="1" pivotButton="0" quotePrefix="0" xfId="6">
      <alignment horizontal="center" vertical="center"/>
    </xf>
    <xf numFmtId="49" fontId="8" fillId="0" borderId="25" applyAlignment="1" pivotButton="0" quotePrefix="0" xfId="6">
      <alignment horizontal="center" vertical="center"/>
    </xf>
    <xf numFmtId="0" fontId="6" fillId="0" borderId="0" applyAlignment="1" pivotButton="0" quotePrefix="0" xfId="6">
      <alignment vertical="center"/>
    </xf>
    <xf numFmtId="0" fontId="19" fillId="0" borderId="18" applyAlignment="1" pivotButton="0" quotePrefix="0" xfId="6">
      <alignment horizontal="center" vertical="center" wrapText="1"/>
    </xf>
    <xf numFmtId="0" fontId="19" fillId="0" borderId="3" applyAlignment="1" pivotButton="0" quotePrefix="0" xfId="6">
      <alignment horizontal="center" vertical="center" wrapText="1"/>
    </xf>
    <xf numFmtId="0" fontId="19" fillId="0" borderId="19" applyAlignment="1" pivotButton="0" quotePrefix="0" xfId="6">
      <alignment horizontal="left" vertical="center" wrapText="1"/>
    </xf>
    <xf numFmtId="0" fontId="19" fillId="0" borderId="24" applyAlignment="1" pivotButton="0" quotePrefix="0" xfId="6">
      <alignment horizontal="left" vertical="center" wrapText="1"/>
    </xf>
    <xf numFmtId="0" fontId="19" fillId="0" borderId="0" applyAlignment="1" pivotButton="0" quotePrefix="0" xfId="6">
      <alignment horizontal="left" vertical="center" wrapText="1"/>
    </xf>
    <xf numFmtId="0" fontId="19" fillId="0" borderId="17" applyAlignment="1" pivotButton="0" quotePrefix="0" xfId="6">
      <alignment horizontal="left" vertical="center" wrapText="1"/>
    </xf>
    <xf numFmtId="0" fontId="8" fillId="0" borderId="19" applyAlignment="1" pivotButton="0" quotePrefix="0" xfId="6">
      <alignment horizontal="center" vertical="center"/>
    </xf>
    <xf numFmtId="0" fontId="8" fillId="0" borderId="24" applyAlignment="1" pivotButton="0" quotePrefix="0" xfId="6">
      <alignment horizontal="center" vertical="center"/>
    </xf>
    <xf numFmtId="49" fontId="10" fillId="0" borderId="28" applyAlignment="1" pivotButton="0" quotePrefix="0" xfId="6">
      <alignment horizontal="center" vertical="center" wrapText="1"/>
    </xf>
    <xf numFmtId="49" fontId="10" fillId="0" borderId="29" applyAlignment="1" pivotButton="0" quotePrefix="0" xfId="6">
      <alignment horizontal="center" vertical="center" wrapText="1"/>
    </xf>
    <xf numFmtId="49" fontId="10" fillId="0" borderId="30" applyAlignment="1" pivotButton="0" quotePrefix="0" xfId="6">
      <alignment horizontal="center" vertical="center" wrapText="1"/>
    </xf>
    <xf numFmtId="49" fontId="10" fillId="0" borderId="33" applyAlignment="1" pivotButton="0" quotePrefix="0" xfId="6">
      <alignment horizontal="center" vertical="center" wrapText="1"/>
    </xf>
    <xf numFmtId="49" fontId="10" fillId="0" borderId="34" applyAlignment="1" pivotButton="0" quotePrefix="0" xfId="6">
      <alignment horizontal="center" vertical="center" wrapText="1"/>
    </xf>
    <xf numFmtId="49" fontId="10" fillId="0" borderId="35" applyAlignment="1" pivotButton="0" quotePrefix="0" xfId="6">
      <alignment horizontal="center" vertical="center" wrapText="1"/>
    </xf>
    <xf numFmtId="49" fontId="6" fillId="0" borderId="36" applyAlignment="1" pivotButton="0" quotePrefix="0" xfId="6">
      <alignment horizontal="left" vertical="top"/>
    </xf>
    <xf numFmtId="49" fontId="11" fillId="0" borderId="0" applyAlignment="1" pivotButton="0" quotePrefix="0" xfId="6">
      <alignment horizontal="center" vertical="center"/>
    </xf>
    <xf numFmtId="49" fontId="11" fillId="0" borderId="17" applyAlignment="1" pivotButton="0" quotePrefix="0" xfId="6">
      <alignment horizontal="center" vertical="center"/>
    </xf>
    <xf numFmtId="49" fontId="11" fillId="0" borderId="34" applyAlignment="1" pivotButton="0" quotePrefix="0" xfId="6">
      <alignment horizontal="center" vertical="center"/>
    </xf>
    <xf numFmtId="49" fontId="11" fillId="0" borderId="37" applyAlignment="1" pivotButton="0" quotePrefix="0" xfId="6">
      <alignment horizontal="center" vertical="center"/>
    </xf>
    <xf numFmtId="49" fontId="17" fillId="0" borderId="18" applyAlignment="1" pivotButton="0" quotePrefix="0" xfId="6">
      <alignment horizontal="center" vertical="center" wrapText="1"/>
    </xf>
    <xf numFmtId="49" fontId="17" fillId="0" borderId="19" applyAlignment="1" pivotButton="0" quotePrefix="0" xfId="6">
      <alignment horizontal="center" vertical="center" wrapText="1"/>
    </xf>
    <xf numFmtId="49" fontId="17" fillId="0" borderId="24" applyAlignment="1" pivotButton="0" quotePrefix="0" xfId="6">
      <alignment horizontal="center" vertical="center" wrapText="1"/>
    </xf>
    <xf numFmtId="49" fontId="17" fillId="0" borderId="33" applyAlignment="1" pivotButton="0" quotePrefix="0" xfId="6">
      <alignment horizontal="center" vertical="center" wrapText="1"/>
    </xf>
    <xf numFmtId="49" fontId="17" fillId="0" borderId="34" applyAlignment="1" pivotButton="0" quotePrefix="0" xfId="6">
      <alignment horizontal="center" vertical="center" wrapText="1"/>
    </xf>
    <xf numFmtId="49" fontId="17" fillId="0" borderId="37" applyAlignment="1" pivotButton="0" quotePrefix="0" xfId="6">
      <alignment horizontal="center" vertical="center" wrapText="1"/>
    </xf>
    <xf numFmtId="49" fontId="18" fillId="0" borderId="10" applyAlignment="1" pivotButton="0" quotePrefix="0" xfId="6">
      <alignment horizontal="center" vertical="center" wrapText="1"/>
    </xf>
    <xf numFmtId="49" fontId="18" fillId="0" borderId="4" applyAlignment="1" pivotButton="0" quotePrefix="0" xfId="6">
      <alignment horizontal="center" vertical="center" wrapText="1"/>
    </xf>
    <xf numFmtId="49" fontId="18" fillId="0" borderId="38" applyAlignment="1" pivotButton="0" quotePrefix="0" xfId="6">
      <alignment horizontal="center" vertical="center" wrapText="1"/>
    </xf>
    <xf numFmtId="49" fontId="18" fillId="0" borderId="39" applyAlignment="1" pivotButton="0" quotePrefix="0" xfId="6">
      <alignment horizontal="center" vertical="center" wrapText="1"/>
    </xf>
    <xf numFmtId="49" fontId="18" fillId="0" borderId="7" applyAlignment="1" pivotButton="0" quotePrefix="0" xfId="6">
      <alignment horizontal="center" vertical="center" wrapText="1"/>
    </xf>
    <xf numFmtId="49" fontId="18" fillId="0" borderId="8" applyAlignment="1" pivotButton="0" quotePrefix="0" xfId="6">
      <alignment horizontal="center" vertical="center" wrapText="1"/>
    </xf>
    <xf numFmtId="0" fontId="8" fillId="3" borderId="33" applyAlignment="1" pivotButton="0" quotePrefix="0" xfId="0">
      <alignment horizontal="left" vertical="center"/>
    </xf>
    <xf numFmtId="0" fontId="8" fillId="3" borderId="34" applyAlignment="1" pivotButton="0" quotePrefix="0" xfId="0">
      <alignment horizontal="left" vertical="center"/>
    </xf>
    <xf numFmtId="0" fontId="8" fillId="3" borderId="37" applyAlignment="1" pivotButton="0" quotePrefix="0" xfId="0">
      <alignment horizontal="left" vertical="center"/>
    </xf>
    <xf numFmtId="0" fontId="0" fillId="0" borderId="49" applyAlignment="1" pivotButton="0" quotePrefix="0" xfId="0">
      <alignment horizontal="center"/>
    </xf>
    <xf numFmtId="0" fontId="0" fillId="0" borderId="26" applyAlignment="1" pivotButton="0" quotePrefix="0" xfId="0">
      <alignment horizontal="center"/>
    </xf>
    <xf numFmtId="0" fontId="0" fillId="0" borderId="27" applyAlignment="1" pivotButton="0" quotePrefix="0" xfId="0">
      <alignment horizontal="center"/>
    </xf>
    <xf numFmtId="0" fontId="0" fillId="0" borderId="36" applyAlignment="1" pivotButton="0" quotePrefix="0" xfId="0">
      <alignment horizontal="center"/>
    </xf>
    <xf numFmtId="0" fontId="0" fillId="0" borderId="44" applyAlignment="1" pivotButton="0" quotePrefix="0" xfId="0">
      <alignment horizontal="center"/>
    </xf>
    <xf numFmtId="0" fontId="0" fillId="0" borderId="52" applyAlignment="1" pivotButton="0" quotePrefix="0" xfId="0">
      <alignment horizontal="center"/>
    </xf>
    <xf numFmtId="0" fontId="2" fillId="0" borderId="58" applyAlignment="1" pivotButton="0" quotePrefix="0" xfId="0">
      <alignment horizontal="center" vertical="center"/>
    </xf>
    <xf numFmtId="0" fontId="2" fillId="0" borderId="59" applyAlignment="1" pivotButton="0" quotePrefix="0" xfId="0">
      <alignment horizontal="center" vertical="center"/>
    </xf>
    <xf numFmtId="0" fontId="2" fillId="0" borderId="60" applyAlignment="1" pivotButton="0" quotePrefix="0" xfId="0">
      <alignment horizontal="center" vertical="center"/>
    </xf>
    <xf numFmtId="0" fontId="1" fillId="0" borderId="12" applyAlignment="1" pivotButton="0" quotePrefix="0" xfId="0">
      <alignment horizontal="center" vertical="center"/>
    </xf>
    <xf numFmtId="0" fontId="1" fillId="0" borderId="50" applyAlignment="1" pivotButton="0" quotePrefix="0" xfId="0">
      <alignment horizontal="center" vertical="center"/>
    </xf>
    <xf numFmtId="0" fontId="1" fillId="0" borderId="54" applyAlignment="1" pivotButton="0" quotePrefix="0" xfId="0">
      <alignment horizontal="center" vertical="center"/>
    </xf>
    <xf numFmtId="0" fontId="11" fillId="0" borderId="49" applyAlignment="1" pivotButton="0" quotePrefix="0" xfId="0">
      <alignment horizontal="center" vertical="center"/>
    </xf>
    <xf numFmtId="0" fontId="11" fillId="0" borderId="26" applyAlignment="1" pivotButton="0" quotePrefix="0" xfId="0">
      <alignment horizontal="center" vertical="center"/>
    </xf>
    <xf numFmtId="0" fontId="11" fillId="0" borderId="27" applyAlignment="1" pivotButton="0" quotePrefix="0" xfId="0">
      <alignment horizontal="center" vertical="center"/>
    </xf>
    <xf numFmtId="0" fontId="11" fillId="0" borderId="61" applyAlignment="1" pivotButton="0" quotePrefix="0" xfId="0">
      <alignment horizontal="center" vertical="center"/>
    </xf>
    <xf numFmtId="0" fontId="11" fillId="0" borderId="34" applyAlignment="1" pivotButton="0" quotePrefix="0" xfId="0">
      <alignment horizontal="center" vertical="center"/>
    </xf>
    <xf numFmtId="0" fontId="11" fillId="0" borderId="37" applyAlignment="1" pivotButton="0" quotePrefix="0" xfId="0">
      <alignment horizontal="center" vertical="center"/>
    </xf>
    <xf numFmtId="0" fontId="0" fillId="3" borderId="49" applyAlignment="1" pivotButton="0" quotePrefix="0" xfId="0">
      <alignment horizontal="center"/>
    </xf>
    <xf numFmtId="0" fontId="0" fillId="3" borderId="26" applyAlignment="1" pivotButton="0" quotePrefix="0" xfId="0">
      <alignment horizontal="center"/>
    </xf>
    <xf numFmtId="0" fontId="0" fillId="3" borderId="27" applyAlignment="1" pivotButton="0" quotePrefix="0" xfId="0">
      <alignment horizontal="center"/>
    </xf>
    <xf numFmtId="0" fontId="0" fillId="3" borderId="13" applyAlignment="1" pivotButton="0" quotePrefix="0" xfId="0">
      <alignment horizontal="center"/>
    </xf>
    <xf numFmtId="0" fontId="0" fillId="3" borderId="19" applyAlignment="1" pivotButton="0" quotePrefix="0" xfId="0">
      <alignment horizontal="center"/>
    </xf>
    <xf numFmtId="0" fontId="0" fillId="3" borderId="24" applyAlignment="1" pivotButton="0" quotePrefix="0" xfId="0">
      <alignment horizontal="center"/>
    </xf>
    <xf numFmtId="0" fontId="0" fillId="0" borderId="41" applyAlignment="1" pivotButton="0" quotePrefix="0" xfId="0">
      <alignment horizontal="center"/>
    </xf>
    <xf numFmtId="0" fontId="0" fillId="0" borderId="15" applyAlignment="1" pivotButton="0" quotePrefix="0" xfId="0">
      <alignment horizontal="center"/>
    </xf>
    <xf numFmtId="0" fontId="0" fillId="0" borderId="42" applyAlignment="1" pivotButton="0" quotePrefix="0" xfId="0">
      <alignment horizontal="center"/>
    </xf>
    <xf numFmtId="0" fontId="0" fillId="0" borderId="43" applyAlignment="1" pivotButton="0" quotePrefix="0" xfId="0">
      <alignment horizontal="center"/>
    </xf>
    <xf numFmtId="0" fontId="0" fillId="0" borderId="45" applyAlignment="1" pivotButton="0" quotePrefix="0" xfId="0">
      <alignment horizontal="center"/>
    </xf>
    <xf numFmtId="0" fontId="0" fillId="0" borderId="13" applyAlignment="1" pivotButton="0" quotePrefix="0" xfId="0">
      <alignment horizontal="center"/>
    </xf>
    <xf numFmtId="0" fontId="0" fillId="0" borderId="19" applyAlignment="1" pivotButton="0" quotePrefix="0" xfId="0">
      <alignment horizontal="center"/>
    </xf>
    <xf numFmtId="0" fontId="0" fillId="0" borderId="24" applyAlignment="1" pivotButton="0" quotePrefix="0" xfId="0">
      <alignment horizontal="center"/>
    </xf>
    <xf numFmtId="0" fontId="0" fillId="0" borderId="57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0" fillId="0" borderId="17" applyAlignment="1" pivotButton="0" quotePrefix="0" xfId="0">
      <alignment horizontal="center"/>
    </xf>
    <xf numFmtId="0" fontId="0" fillId="0" borderId="53" applyAlignment="1" pivotButton="0" quotePrefix="0" xfId="0">
      <alignment horizontal="center"/>
    </xf>
    <xf numFmtId="0" fontId="0" fillId="0" borderId="50" applyAlignment="1" pivotButton="0" quotePrefix="0" xfId="0">
      <alignment horizontal="center"/>
    </xf>
    <xf numFmtId="0" fontId="0" fillId="0" borderId="54" applyAlignment="1" pivotButton="0" quotePrefix="0" xfId="0">
      <alignment horizontal="center"/>
    </xf>
    <xf numFmtId="0" fontId="1" fillId="2" borderId="46" applyAlignment="1" pivotButton="0" quotePrefix="0" xfId="0">
      <alignment horizontal="center"/>
    </xf>
    <xf numFmtId="0" fontId="1" fillId="2" borderId="47" applyAlignment="1" pivotButton="0" quotePrefix="0" xfId="0">
      <alignment horizontal="center"/>
    </xf>
    <xf numFmtId="0" fontId="1" fillId="2" borderId="48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55" applyAlignment="1" pivotButton="0" quotePrefix="0" xfId="0">
      <alignment horizontal="center"/>
    </xf>
    <xf numFmtId="0" fontId="0" fillId="0" borderId="56" applyAlignment="1" pivotButton="0" quotePrefix="0" xfId="0">
      <alignment horizontal="center"/>
    </xf>
    <xf numFmtId="0" fontId="8" fillId="0" borderId="14" applyAlignment="1" pivotButton="0" quotePrefix="0" xfId="0">
      <alignment horizontal="center"/>
    </xf>
    <xf numFmtId="0" fontId="8" fillId="0" borderId="15" applyAlignment="1" pivotButton="0" quotePrefix="0" xfId="0">
      <alignment horizontal="center"/>
    </xf>
    <xf numFmtId="0" fontId="8" fillId="0" borderId="49" applyAlignment="1" pivotButton="0" quotePrefix="0" xfId="0">
      <alignment horizontal="center"/>
    </xf>
    <xf numFmtId="0" fontId="8" fillId="0" borderId="26" applyAlignment="1" pivotButton="0" quotePrefix="0" xfId="0">
      <alignment horizontal="center"/>
    </xf>
    <xf numFmtId="0" fontId="8" fillId="0" borderId="23" applyAlignment="1" pivotButton="0" quotePrefix="0" xfId="0">
      <alignment horizontal="center"/>
    </xf>
    <xf numFmtId="0" fontId="8" fillId="0" borderId="1" applyAlignment="1" pivotButton="0" quotePrefix="0" xfId="0">
      <alignment horizontal="center"/>
    </xf>
    <xf numFmtId="0" fontId="8" fillId="0" borderId="36" applyAlignment="1" pivotButton="0" quotePrefix="0" xfId="0">
      <alignment horizontal="center"/>
    </xf>
    <xf numFmtId="0" fontId="8" fillId="0" borderId="44" applyAlignment="1" pivotButton="0" quotePrefix="0" xfId="0">
      <alignment horizontal="center"/>
    </xf>
    <xf numFmtId="0" fontId="8" fillId="0" borderId="16" applyAlignment="1" pivotButton="0" quotePrefix="0" xfId="0">
      <alignment horizontal="center"/>
    </xf>
    <xf numFmtId="0" fontId="8" fillId="0" borderId="52" applyAlignment="1" pivotButton="0" quotePrefix="0" xfId="0">
      <alignment horizontal="center"/>
    </xf>
    <xf numFmtId="0" fontId="8" fillId="3" borderId="14" applyAlignment="1" pivotButton="0" quotePrefix="0" xfId="0">
      <alignment horizontal="center"/>
    </xf>
    <xf numFmtId="0" fontId="8" fillId="3" borderId="15" applyAlignment="1" pivotButton="0" quotePrefix="0" xfId="0">
      <alignment horizontal="center"/>
    </xf>
    <xf numFmtId="0" fontId="8" fillId="0" borderId="12" applyAlignment="1" pivotButton="0" quotePrefix="0" xfId="0">
      <alignment horizontal="center"/>
    </xf>
    <xf numFmtId="0" fontId="8" fillId="0" borderId="50" applyAlignment="1" pivotButton="0" quotePrefix="0" xfId="0">
      <alignment horizontal="center"/>
    </xf>
    <xf numFmtId="0" fontId="8" fillId="0" borderId="51" applyAlignment="1" pivotButton="0" quotePrefix="0" xfId="0">
      <alignment horizontal="center"/>
    </xf>
    <xf numFmtId="0" fontId="8" fillId="0" borderId="15" applyAlignment="1" pivotButton="0" quotePrefix="0" xfId="0">
      <alignment horizontal="center" vertical="center"/>
    </xf>
    <xf numFmtId="0" fontId="8" fillId="0" borderId="16" applyAlignment="1" pivotButton="0" quotePrefix="0" xfId="0">
      <alignment horizontal="center" vertical="center"/>
    </xf>
    <xf numFmtId="0" fontId="8" fillId="0" borderId="50" applyAlignment="1" pivotButton="0" quotePrefix="0" xfId="0">
      <alignment horizontal="center" vertical="center"/>
    </xf>
    <xf numFmtId="0" fontId="8" fillId="0" borderId="51" applyAlignment="1" pivotButton="0" quotePrefix="0" xfId="0">
      <alignment horizontal="center" vertical="center"/>
    </xf>
    <xf numFmtId="0" fontId="8" fillId="3" borderId="23" applyAlignment="1" pivotButton="0" quotePrefix="0" xfId="0">
      <alignment horizontal="center"/>
    </xf>
    <xf numFmtId="0" fontId="8" fillId="3" borderId="1" applyAlignment="1" pivotButton="0" quotePrefix="0" xfId="0">
      <alignment horizontal="center"/>
    </xf>
    <xf numFmtId="0" fontId="8" fillId="0" borderId="18" applyAlignment="1" pivotButton="0" quotePrefix="0" xfId="0">
      <alignment horizontal="left" vertical="center"/>
    </xf>
    <xf numFmtId="0" fontId="8" fillId="0" borderId="19" applyAlignment="1" pivotButton="0" quotePrefix="0" xfId="0">
      <alignment horizontal="left" vertical="center"/>
    </xf>
    <xf numFmtId="0" fontId="8" fillId="0" borderId="24" applyAlignment="1" pivotButton="0" quotePrefix="0" xfId="0">
      <alignment horizontal="left" vertical="center"/>
    </xf>
    <xf numFmtId="0" fontId="6" fillId="0" borderId="66" applyAlignment="1" pivotButton="0" quotePrefix="0" xfId="6">
      <alignment horizontal="center" vertical="center"/>
    </xf>
    <xf numFmtId="0" fontId="0" fillId="0" borderId="19" pivotButton="0" quotePrefix="0" xfId="0"/>
    <xf numFmtId="49" fontId="2" fillId="0" borderId="65" applyAlignment="1" pivotButton="0" quotePrefix="0" xfId="6">
      <alignment horizontal="center" vertical="center"/>
    </xf>
    <xf numFmtId="0" fontId="0" fillId="0" borderId="62" pivotButton="0" quotePrefix="0" xfId="0"/>
    <xf numFmtId="0" fontId="8" fillId="0" borderId="51" applyAlignment="1" pivotButton="0" quotePrefix="0" xfId="6">
      <alignment horizontal="center" vertical="center"/>
    </xf>
    <xf numFmtId="0" fontId="0" fillId="0" borderId="24" pivotButton="0" quotePrefix="0" xfId="0"/>
    <xf numFmtId="0" fontId="0" fillId="0" borderId="3" pivotButton="0" quotePrefix="0" xfId="0"/>
    <xf numFmtId="0" fontId="0" fillId="0" borderId="57" pivotButton="0" quotePrefix="0" xfId="0"/>
    <xf numFmtId="0" fontId="0" fillId="0" borderId="31" pivotButton="0" quotePrefix="0" xfId="0"/>
    <xf numFmtId="0" fontId="0" fillId="0" borderId="1" pivotButton="0" quotePrefix="0" xfId="0"/>
    <xf numFmtId="0" fontId="0" fillId="0" borderId="25" pivotButton="0" quotePrefix="0" xfId="0"/>
    <xf numFmtId="0" fontId="8" fillId="0" borderId="16" applyAlignment="1" pivotButton="0" quotePrefix="0" xfId="6">
      <alignment horizontal="center" vertical="center"/>
    </xf>
    <xf numFmtId="0" fontId="0" fillId="0" borderId="26" pivotButton="0" quotePrefix="0" xfId="0"/>
    <xf numFmtId="0" fontId="0" fillId="0" borderId="27" pivotButton="0" quotePrefix="0" xfId="0"/>
    <xf numFmtId="0" fontId="0" fillId="0" borderId="20" pivotButton="0" quotePrefix="0" xfId="0"/>
    <xf numFmtId="0" fontId="0" fillId="0" borderId="21" pivotButton="0" quotePrefix="0" xfId="0"/>
    <xf numFmtId="0" fontId="0" fillId="0" borderId="23" pivotButton="0" quotePrefix="0" xfId="0"/>
    <xf numFmtId="0" fontId="6" fillId="0" borderId="67" applyAlignment="1" pivotButton="0" quotePrefix="0" xfId="6">
      <alignment horizontal="center" vertical="center"/>
    </xf>
    <xf numFmtId="0" fontId="0" fillId="0" borderId="29" pivotButton="0" quotePrefix="0" xfId="0"/>
    <xf numFmtId="0" fontId="0" fillId="0" borderId="30" pivotButton="0" quotePrefix="0" xfId="0"/>
    <xf numFmtId="0" fontId="0" fillId="0" borderId="17" pivotButton="0" quotePrefix="0" xfId="0"/>
    <xf numFmtId="49" fontId="8" fillId="0" borderId="16" applyAlignment="1" pivotButton="0" quotePrefix="0" xfId="6">
      <alignment horizontal="center" vertical="center"/>
    </xf>
    <xf numFmtId="0" fontId="0" fillId="0" borderId="32" pivotButton="0" quotePrefix="0" xfId="0"/>
    <xf numFmtId="49" fontId="10" fillId="0" borderId="63" applyAlignment="1" pivotButton="0" quotePrefix="0" xfId="6">
      <alignment horizontal="center" vertical="center" wrapText="1"/>
    </xf>
    <xf numFmtId="0" fontId="0" fillId="0" borderId="33" pivotButton="0" quotePrefix="0" xfId="0"/>
    <xf numFmtId="0" fontId="0" fillId="0" borderId="34" pivotButton="0" quotePrefix="0" xfId="0"/>
    <xf numFmtId="0" fontId="0" fillId="0" borderId="35" pivotButton="0" quotePrefix="0" xfId="0"/>
    <xf numFmtId="0" fontId="0" fillId="0" borderId="37" pivotButton="0" quotePrefix="0" xfId="0"/>
    <xf numFmtId="49" fontId="17" fillId="0" borderId="64" applyAlignment="1" pivotButton="0" quotePrefix="0" xfId="6">
      <alignment horizontal="center" vertical="center" wrapText="1"/>
    </xf>
    <xf numFmtId="0" fontId="0" fillId="0" borderId="10" pivotButton="0" quotePrefix="0" xfId="0"/>
    <xf numFmtId="0" fontId="0" fillId="0" borderId="55" pivotButton="0" quotePrefix="0" xfId="0"/>
    <xf numFmtId="0" fontId="0" fillId="0" borderId="68" pivotButton="0" quotePrefix="0" xfId="0"/>
    <xf numFmtId="0" fontId="6" fillId="0" borderId="2" applyAlignment="1" pivotButton="0" quotePrefix="0" xfId="6">
      <alignment horizontal="left" vertical="center"/>
    </xf>
    <xf numFmtId="0" fontId="0" fillId="0" borderId="15" pivotButton="0" quotePrefix="0" xfId="0"/>
    <xf numFmtId="0" fontId="0" fillId="0" borderId="42" pivotButton="0" quotePrefix="0" xfId="0"/>
    <xf numFmtId="0" fontId="6" fillId="0" borderId="4" applyAlignment="1" pivotButton="0" quotePrefix="0" xfId="6">
      <alignment horizontal="left" vertical="center"/>
    </xf>
    <xf numFmtId="0" fontId="0" fillId="0" borderId="44" pivotButton="0" quotePrefix="0" xfId="0"/>
    <xf numFmtId="0" fontId="0" fillId="0" borderId="45" pivotButton="0" quotePrefix="0" xfId="0"/>
    <xf numFmtId="0" fontId="2" fillId="0" borderId="74" applyAlignment="1" pivotButton="0" quotePrefix="0" xfId="0">
      <alignment horizontal="center" vertical="center"/>
    </xf>
    <xf numFmtId="0" fontId="1" fillId="0" borderId="22" applyAlignment="1" pivotButton="0" quotePrefix="0" xfId="0">
      <alignment horizontal="center" vertical="center"/>
    </xf>
    <xf numFmtId="0" fontId="0" fillId="0" borderId="50" pivotButton="0" quotePrefix="0" xfId="0"/>
    <xf numFmtId="0" fontId="0" fillId="0" borderId="54" pivotButton="0" quotePrefix="0" xfId="0"/>
    <xf numFmtId="0" fontId="0" fillId="0" borderId="51" pivotButton="0" quotePrefix="0" xfId="0"/>
    <xf numFmtId="0" fontId="0" fillId="0" borderId="59" pivotButton="0" quotePrefix="0" xfId="0"/>
    <xf numFmtId="0" fontId="0" fillId="0" borderId="16" pivotButton="0" quotePrefix="0" xfId="0"/>
    <xf numFmtId="0" fontId="11" fillId="0" borderId="8" applyAlignment="1" pivotButton="0" quotePrefix="0" xfId="0">
      <alignment horizontal="center" vertical="center"/>
    </xf>
    <xf numFmtId="0" fontId="0" fillId="0" borderId="60" pivotButton="0" quotePrefix="0" xfId="0"/>
    <xf numFmtId="0" fontId="0" fillId="0" borderId="61" pivotButton="0" quotePrefix="0" xfId="0"/>
    <xf numFmtId="0" fontId="1" fillId="2" borderId="64" applyAlignment="1" pivotButton="0" quotePrefix="0" xfId="0">
      <alignment horizontal="center"/>
    </xf>
    <xf numFmtId="0" fontId="0" fillId="0" borderId="47" pivotButton="0" quotePrefix="0" xfId="0"/>
    <xf numFmtId="0" fontId="0" fillId="0" borderId="48" pivotButton="0" quotePrefix="0" xfId="0"/>
    <xf numFmtId="0" fontId="0" fillId="0" borderId="71" applyAlignment="1" pivotButton="0" quotePrefix="0" xfId="0">
      <alignment horizontal="center"/>
    </xf>
    <xf numFmtId="0" fontId="0" fillId="0" borderId="70" applyAlignment="1" pivotButton="0" quotePrefix="0" xfId="0">
      <alignment horizontal="center"/>
    </xf>
    <xf numFmtId="0" fontId="0" fillId="0" borderId="8" applyAlignment="1" pivotButton="0" quotePrefix="0" xfId="0">
      <alignment horizontal="center"/>
    </xf>
    <xf numFmtId="0" fontId="0" fillId="0" borderId="52" pivotButton="0" quotePrefix="0" xfId="0"/>
    <xf numFmtId="0" fontId="8" fillId="0" borderId="40" applyAlignment="1" pivotButton="0" quotePrefix="0" xfId="0">
      <alignment horizontal="center"/>
    </xf>
    <xf numFmtId="0" fontId="0" fillId="0" borderId="72" applyAlignment="1" pivotButton="0" quotePrefix="0" xfId="0">
      <alignment horizontal="center"/>
    </xf>
    <xf numFmtId="0" fontId="8" fillId="0" borderId="6" applyAlignment="1" pivotButton="0" quotePrefix="0" xfId="0">
      <alignment horizontal="center"/>
    </xf>
    <xf numFmtId="0" fontId="8" fillId="0" borderId="8" applyAlignment="1" pivotButton="0" quotePrefix="0" xfId="0">
      <alignment horizontal="center"/>
    </xf>
    <xf numFmtId="0" fontId="0" fillId="0" borderId="56" pivotButton="0" quotePrefix="0" xfId="0"/>
    <xf numFmtId="0" fontId="0" fillId="3" borderId="71" applyAlignment="1" pivotButton="0" quotePrefix="0" xfId="0">
      <alignment horizontal="center"/>
    </xf>
    <xf numFmtId="0" fontId="0" fillId="3" borderId="70" applyAlignment="1" pivotButton="0" quotePrefix="0" xfId="0">
      <alignment horizontal="center"/>
    </xf>
    <xf numFmtId="0" fontId="8" fillId="0" borderId="69" applyAlignment="1" pivotButton="0" quotePrefix="0" xfId="0">
      <alignment horizontal="left" vertical="center"/>
    </xf>
    <xf numFmtId="0" fontId="8" fillId="3" borderId="73" applyAlignment="1" pivotButton="0" quotePrefix="0" xfId="0">
      <alignment horizontal="left" vertical="center"/>
    </xf>
  </cellXfs>
  <cellStyles count="8">
    <cellStyle name="Normal" xfId="0" builtinId="0"/>
    <cellStyle name="Data" xfId="1"/>
    <cellStyle name="field" xfId="2"/>
    <cellStyle name="HAND" xfId="3"/>
    <cellStyle name="Item" xfId="4"/>
    <cellStyle name="Main" xfId="5"/>
    <cellStyle name="Normal 3 2" xfId="6"/>
    <cellStyle name="Hiperlink" xfId="7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styles" Target="styles.xml" Id="rId20" /><Relationship Type="http://schemas.openxmlformats.org/officeDocument/2006/relationships/theme" Target="theme/theme1.xml" Id="rId21" /><Relationship Type="http://schemas.microsoft.com/office/2006/relationships/vbaProject" Target="vbaProject.bin" Id="rId22" /></Relationships>
</file>

<file path=xl/tables/table1.xml><?xml version="1.0" encoding="utf-8"?>
<table xmlns="http://schemas.openxmlformats.org/spreadsheetml/2006/main" id="1" name="TDados" displayName="TDados" ref="A1:I2" headerRowCount="1" totalsRowShown="0">
  <autoFilter ref="A1:I2"/>
  <tableColumns count="9">
    <tableColumn id="1" name="id"/>
    <tableColumn id="2" name="logoCliente" dataCellStyle="Hiperlink"/>
    <tableColumn id="3" name="nomeCliente"/>
    <tableColumn id="4" name="numProjeto"/>
    <tableColumn id="5" name="cidadeCliente"/>
    <tableColumn id="6" name="siglaProjeto"/>
    <tableColumn id="7" name="solicitante"/>
    <tableColumn id="8" name="responsavelTecnico"/>
    <tableColumn id="9" name="servic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../../../../../../transfer/Logos/Technik.png" TargetMode="External" Id="rId1" /><Relationship Type="http://schemas.openxmlformats.org/officeDocument/2006/relationships/table" Target="/xl/tables/table1.xml" Id="rId2" /></Relationships>
</file>

<file path=xl/worksheets/sheet1.xml><?xml version="1.0" encoding="utf-8"?>
<worksheet xmlns="http://schemas.openxmlformats.org/spreadsheetml/2006/main">
  <sheetPr codeName="Planilha1">
    <tabColor theme="9" tint="0.3999755851924192"/>
    <outlinePr summaryBelow="1" summaryRight="1"/>
    <pageSetUpPr/>
  </sheetPr>
  <dimension ref="A1:I2"/>
  <sheetViews>
    <sheetView workbookViewId="0">
      <selection activeCell="A1" sqref="A1:S4"/>
    </sheetView>
  </sheetViews>
  <sheetFormatPr baseColWidth="8" defaultRowHeight="13.2"/>
  <cols>
    <col width="4.77734375" bestFit="1" customWidth="1" min="1" max="1"/>
    <col width="13" bestFit="1" customWidth="1" min="2" max="2"/>
    <col width="14" bestFit="1" customWidth="1" min="3" max="3"/>
    <col width="13.33203125" bestFit="1" customWidth="1" min="4" max="4"/>
    <col width="14.88671875" bestFit="1" customWidth="1" min="5" max="5"/>
    <col width="13.5546875" bestFit="1" customWidth="1" min="6" max="6"/>
    <col width="12.109375" bestFit="1" customWidth="1" min="7" max="7"/>
    <col width="20.77734375" bestFit="1" customWidth="1" min="8" max="8"/>
    <col width="9.5546875" bestFit="1" customWidth="1" min="9" max="9"/>
  </cols>
  <sheetData>
    <row r="1">
      <c r="A1" t="inlineStr">
        <is>
          <t>id</t>
        </is>
      </c>
      <c r="B1" t="inlineStr">
        <is>
          <t>logoCliente</t>
        </is>
      </c>
      <c r="C1" t="inlineStr">
        <is>
          <t>nomeCliente</t>
        </is>
      </c>
      <c r="D1" t="inlineStr">
        <is>
          <t>numProjeto</t>
        </is>
      </c>
      <c r="E1" t="inlineStr">
        <is>
          <t>cidadeCliente</t>
        </is>
      </c>
      <c r="F1" t="inlineStr">
        <is>
          <t>siglaProjeto</t>
        </is>
      </c>
      <c r="G1" t="inlineStr">
        <is>
          <t>solicitante</t>
        </is>
      </c>
      <c r="H1" t="inlineStr">
        <is>
          <t>responsavelTecnico</t>
        </is>
      </c>
      <c r="I1" t="inlineStr">
        <is>
          <t>servico</t>
        </is>
      </c>
    </row>
    <row r="2">
      <c r="A2" t="n">
        <v>1</v>
      </c>
      <c r="B2" s="22" t="inlineStr">
        <is>
          <t>https://technikgrupo.sharepoint.com/sites/transfer/Logos/Technik.png</t>
        </is>
      </c>
    </row>
  </sheetData>
  <hyperlinks>
    <hyperlink xmlns:r="http://schemas.openxmlformats.org/officeDocument/2006/relationships" ref="B2" r:id="rId1"/>
  </hyperlinks>
  <pageMargins left="0.511811024" right="0.511811024" top="0.787401575" bottom="0.787401575" header="0.31496062" footer="0.31496062"/>
  <pageSetup orientation="portrait" paperSize="9"/>
  <tableParts count="1">
    <tablePart xmlns:r="http://schemas.openxmlformats.org/officeDocument/2006/relationships" r:id="rId2"/>
  </tableParts>
</worksheet>
</file>

<file path=xl/worksheets/sheet2.xml><?xml version="1.0" encoding="utf-8"?>
<worksheet xmlns="http://schemas.openxmlformats.org/spreadsheetml/2006/main">
  <sheetPr codeName="Planilha3">
    <outlinePr summaryBelow="1" summaryRight="1"/>
    <pageSetUpPr/>
  </sheetPr>
  <dimension ref="A1:V84"/>
  <sheetViews>
    <sheetView showGridLines="0" view="pageBreakPreview" topLeftCell="A30" zoomScale="85" zoomScaleNormal="70" zoomScaleSheetLayoutView="85" workbookViewId="0">
      <selection activeCell="B49" sqref="B49:N50"/>
    </sheetView>
  </sheetViews>
  <sheetFormatPr baseColWidth="8" defaultRowHeight="12" customHeight="1"/>
  <cols>
    <col width="8.21875" customWidth="1" min="1" max="256"/>
  </cols>
  <sheetData>
    <row r="1" ht="12" customHeight="1">
      <c r="A1" s="172">
        <f>_xlfn.IMAGE(TDados[logoCliente])</f>
        <v/>
      </c>
      <c r="B1" s="173" t="n"/>
      <c r="C1" s="173" t="n"/>
      <c r="D1" s="174" t="inlineStr">
        <is>
          <t>FOLHA DE DADOS</t>
        </is>
      </c>
      <c r="E1" s="173" t="n"/>
      <c r="F1" s="173" t="n"/>
      <c r="G1" s="173" t="n"/>
      <c r="H1" s="175" t="n"/>
      <c r="I1" s="44" t="inlineStr">
        <is>
          <t>N°</t>
        </is>
      </c>
      <c r="J1" s="176">
        <f>"FD-"&amp;Config!D2&amp;"-"&amp;Config!F2&amp;"-001"</f>
        <v/>
      </c>
      <c r="K1" s="173" t="n"/>
      <c r="L1" s="173" t="n"/>
      <c r="M1" s="173" t="n"/>
      <c r="N1" s="173" t="n"/>
      <c r="O1" s="177" t="n"/>
    </row>
    <row r="2" ht="12" customHeight="1">
      <c r="A2" s="178" t="n"/>
      <c r="D2" s="179" t="n"/>
      <c r="H2" s="180" t="n"/>
      <c r="I2" s="179" t="n"/>
      <c r="J2" s="181" t="n"/>
      <c r="K2" s="181" t="n"/>
      <c r="L2" s="181" t="n"/>
      <c r="M2" s="181" t="n"/>
      <c r="N2" s="181" t="n"/>
      <c r="O2" s="182" t="n"/>
    </row>
    <row r="3" ht="12" customHeight="1">
      <c r="A3" s="178" t="n"/>
      <c r="D3" s="52" t="inlineStr">
        <is>
          <t>CLIENTE
Client</t>
        </is>
      </c>
      <c r="E3" s="183">
        <f>Config!C2</f>
        <v/>
      </c>
      <c r="F3" s="184" t="n"/>
      <c r="G3" s="184" t="n"/>
      <c r="H3" s="184" t="n"/>
      <c r="I3" s="184" t="n"/>
      <c r="J3" s="184" t="n"/>
      <c r="K3" s="184" t="n"/>
      <c r="L3" s="184" t="n"/>
      <c r="M3" s="184" t="n"/>
      <c r="N3" s="184" t="n"/>
      <c r="O3" s="185" t="n"/>
    </row>
    <row r="4" ht="12" customHeight="1">
      <c r="A4" s="186" t="n"/>
      <c r="B4" s="187" t="n"/>
      <c r="C4" s="187" t="n"/>
      <c r="D4" s="188" t="n"/>
      <c r="E4" s="181" t="n"/>
      <c r="F4" s="181" t="n"/>
      <c r="G4" s="181" t="n"/>
      <c r="H4" s="181" t="n"/>
      <c r="I4" s="181" t="n"/>
      <c r="J4" s="181" t="n"/>
      <c r="K4" s="181" t="n"/>
      <c r="L4" s="181" t="n"/>
      <c r="M4" s="181" t="n"/>
      <c r="N4" s="181" t="n"/>
      <c r="O4" s="182" t="n"/>
    </row>
    <row r="5" ht="12" customHeight="1">
      <c r="A5" s="189">
        <f>_xlfn.IMAGE("https://technikgrupo.sharepoint.com/sites/transfer/Logos/Technik.png")</f>
        <v/>
      </c>
      <c r="B5" s="190" t="n"/>
      <c r="C5" s="191" t="n"/>
      <c r="D5" s="52" t="inlineStr">
        <is>
          <t>UNIDADE
Plant</t>
        </is>
      </c>
      <c r="E5" s="55">
        <f>Config!E2</f>
        <v/>
      </c>
      <c r="F5" s="184" t="n"/>
      <c r="G5" s="184" t="n"/>
      <c r="H5" s="184" t="n"/>
      <c r="I5" s="184" t="n"/>
      <c r="J5" s="184" t="n"/>
      <c r="K5" s="184" t="n"/>
      <c r="L5" s="184" t="n"/>
      <c r="M5" s="184" t="n"/>
      <c r="N5" s="184" t="n"/>
      <c r="O5" s="185" t="n"/>
    </row>
    <row r="6" ht="12" customHeight="1">
      <c r="A6" s="178" t="n"/>
      <c r="C6" s="180" t="n"/>
      <c r="D6" s="188" t="n"/>
      <c r="O6" s="192" t="n"/>
    </row>
    <row r="7" ht="12" customHeight="1">
      <c r="A7" s="178" t="n"/>
      <c r="C7" s="180" t="n"/>
      <c r="D7" s="52" t="inlineStr">
        <is>
          <t>ÁREA
Area</t>
        </is>
      </c>
      <c r="E7" s="193" t="inlineStr">
        <is>
          <t>PÁTIO D3</t>
        </is>
      </c>
      <c r="F7" s="184" t="n"/>
      <c r="G7" s="184" t="n"/>
      <c r="H7" s="184" t="n"/>
      <c r="I7" s="184" t="n"/>
      <c r="J7" s="184" t="n"/>
      <c r="K7" s="184" t="n"/>
      <c r="L7" s="184" t="n"/>
      <c r="M7" s="184" t="n"/>
      <c r="N7" s="184" t="n"/>
      <c r="O7" s="185" t="n"/>
    </row>
    <row r="8" ht="12" customHeight="1">
      <c r="A8" s="186" t="n"/>
      <c r="B8" s="187" t="n"/>
      <c r="C8" s="194" t="n"/>
      <c r="D8" s="188" t="n"/>
      <c r="E8" s="181" t="n"/>
      <c r="F8" s="181" t="n"/>
      <c r="G8" s="181" t="n"/>
      <c r="H8" s="181" t="n"/>
      <c r="I8" s="181" t="n"/>
      <c r="J8" s="181" t="n"/>
      <c r="K8" s="181" t="n"/>
      <c r="L8" s="181" t="n"/>
      <c r="M8" s="181" t="n"/>
      <c r="N8" s="181" t="n"/>
      <c r="O8" s="182" t="n"/>
    </row>
    <row r="9" ht="12" customHeight="1">
      <c r="A9" s="195" t="inlineStr">
        <is>
          <t>CENTRO DE ENGENHARIA TECHNIK</t>
        </is>
      </c>
      <c r="B9" s="190" t="n"/>
      <c r="C9" s="191" t="n"/>
      <c r="D9" s="52" t="inlineStr">
        <is>
          <t>TÍTULO
Title</t>
        </is>
      </c>
      <c r="E9" s="88" t="inlineStr">
        <is>
          <t>FOLHA DE DADOS DE VÁLVULA ON OFF - PÁTIO D3</t>
        </is>
      </c>
      <c r="O9" s="192" t="n"/>
    </row>
    <row r="10" ht="12" customHeight="1" thickBot="1">
      <c r="A10" s="196" t="n"/>
      <c r="B10" s="197" t="n"/>
      <c r="C10" s="198" t="n"/>
      <c r="D10" s="188" t="n"/>
      <c r="E10" s="197" t="n"/>
      <c r="F10" s="197" t="n"/>
      <c r="G10" s="197" t="n"/>
      <c r="H10" s="197" t="n"/>
      <c r="I10" s="197" t="n"/>
      <c r="J10" s="197" t="n"/>
      <c r="K10" s="197" t="n"/>
      <c r="L10" s="197" t="n"/>
      <c r="M10" s="197" t="n"/>
      <c r="N10" s="197" t="n"/>
      <c r="O10" s="199" t="n"/>
    </row>
    <row r="11" ht="12" customHeight="1">
      <c r="A11" s="200" t="inlineStr">
        <is>
          <t>ÍNDICE DE REVISÕES / INDEX OF REVIEW</t>
        </is>
      </c>
      <c r="B11" s="173" t="n"/>
      <c r="C11" s="173" t="n"/>
      <c r="D11" s="173" t="n"/>
      <c r="E11" s="173" t="n"/>
      <c r="F11" s="173" t="n"/>
      <c r="G11" s="173" t="n"/>
      <c r="H11" s="173" t="n"/>
      <c r="I11" s="173" t="n"/>
      <c r="J11" s="173" t="n"/>
      <c r="K11" s="173" t="n"/>
      <c r="L11" s="173" t="n"/>
      <c r="M11" s="173" t="n"/>
      <c r="N11" s="173" t="n"/>
      <c r="O11" s="177" t="n"/>
    </row>
    <row r="12" ht="12" customHeight="1" thickBot="1">
      <c r="A12" s="196" t="n"/>
      <c r="B12" s="197" t="n"/>
      <c r="C12" s="197" t="n"/>
      <c r="D12" s="197" t="n"/>
      <c r="E12" s="197" t="n"/>
      <c r="F12" s="197" t="n"/>
      <c r="G12" s="197" t="n"/>
      <c r="H12" s="197" t="n"/>
      <c r="I12" s="197" t="n"/>
      <c r="J12" s="197" t="n"/>
      <c r="K12" s="197" t="n"/>
      <c r="L12" s="197" t="n"/>
      <c r="M12" s="197" t="n"/>
      <c r="N12" s="197" t="n"/>
      <c r="O12" s="199" t="n"/>
    </row>
    <row r="13" ht="12" customHeight="1">
      <c r="A13" s="95" t="inlineStr">
        <is>
          <t>REV</t>
        </is>
      </c>
      <c r="B13" s="97" t="inlineStr">
        <is>
          <t>DESCRIÇÃO E/OU FOLHAS ATINGIDAS / DESCRIPTION</t>
        </is>
      </c>
      <c r="O13" s="180" t="n"/>
    </row>
    <row r="14" ht="12" customHeight="1" thickBot="1">
      <c r="A14" s="201" t="n"/>
      <c r="B14" s="188" t="n"/>
      <c r="C14" s="181" t="n"/>
      <c r="D14" s="181" t="n"/>
      <c r="E14" s="181" t="n"/>
      <c r="F14" s="181" t="n"/>
      <c r="G14" s="181" t="n"/>
      <c r="H14" s="181" t="n"/>
      <c r="I14" s="181" t="n"/>
      <c r="J14" s="181" t="n"/>
      <c r="K14" s="181" t="n"/>
      <c r="L14" s="181" t="n"/>
      <c r="M14" s="181" t="n"/>
      <c r="N14" s="181" t="n"/>
      <c r="O14" s="202" t="n"/>
    </row>
    <row r="15" ht="12" customHeight="1">
      <c r="A15" s="70" t="inlineStr">
        <is>
          <t>0</t>
        </is>
      </c>
      <c r="B15" s="73" t="inlineStr">
        <is>
          <t>REVISÃO INICIAL</t>
        </is>
      </c>
      <c r="C15" s="173" t="n"/>
      <c r="D15" s="173" t="n"/>
      <c r="E15" s="173" t="n"/>
      <c r="F15" s="173" t="n"/>
      <c r="G15" s="173" t="n"/>
      <c r="H15" s="173" t="n"/>
      <c r="I15" s="173" t="n"/>
      <c r="J15" s="173" t="n"/>
      <c r="K15" s="173" t="n"/>
      <c r="L15" s="173" t="n"/>
      <c r="M15" s="173" t="n"/>
      <c r="N15" s="173" t="n"/>
      <c r="O15" s="177" t="n"/>
    </row>
    <row r="16" ht="12" customHeight="1">
      <c r="A16" s="178" t="n"/>
      <c r="O16" s="192" t="n"/>
      <c r="T16" s="69" t="n"/>
      <c r="U16" s="69" t="n"/>
      <c r="V16" s="69" t="n"/>
    </row>
    <row r="17" ht="12" customHeight="1">
      <c r="A17" s="24" t="n"/>
      <c r="B17" s="25" t="n"/>
      <c r="O17" s="23" t="n"/>
      <c r="T17" s="69" t="n"/>
      <c r="V17" s="69" t="n"/>
    </row>
    <row r="18" ht="12" customHeight="1">
      <c r="A18" s="178" t="n"/>
      <c r="O18" s="192" t="n"/>
      <c r="T18" s="69" t="n"/>
      <c r="V18" s="69" t="n"/>
    </row>
    <row r="19" ht="12" customHeight="1">
      <c r="A19" s="24" t="n"/>
      <c r="B19" s="25" t="n"/>
      <c r="O19" s="23" t="n"/>
      <c r="T19" s="69" t="n"/>
      <c r="V19" s="69" t="n"/>
    </row>
    <row r="20" ht="12" customHeight="1">
      <c r="A20" s="178" t="n"/>
      <c r="O20" s="192" t="n"/>
      <c r="T20" s="69" t="n"/>
      <c r="V20" s="69" t="n"/>
    </row>
    <row r="21" ht="12" customHeight="1">
      <c r="A21" s="24" t="n"/>
      <c r="B21" s="25" t="n"/>
      <c r="O21" s="23" t="n"/>
      <c r="T21" s="69" t="n"/>
      <c r="V21" s="69" t="n"/>
    </row>
    <row r="22" ht="12" customHeight="1">
      <c r="A22" s="178" t="n"/>
      <c r="O22" s="192" t="n"/>
      <c r="T22" s="69" t="n"/>
      <c r="V22" s="69" t="n"/>
    </row>
    <row r="23" ht="12" customHeight="1">
      <c r="A23" s="24" t="n"/>
      <c r="B23" s="25" t="n"/>
      <c r="O23" s="23" t="n"/>
      <c r="T23" s="69" t="n"/>
      <c r="V23" s="69" t="n"/>
    </row>
    <row r="24" ht="12" customHeight="1">
      <c r="A24" s="178" t="n"/>
      <c r="O24" s="192" t="n"/>
      <c r="T24" s="69" t="n"/>
      <c r="U24" s="69" t="n"/>
      <c r="V24" s="69" t="n"/>
    </row>
    <row r="25" ht="12" customHeight="1">
      <c r="A25" s="24" t="n"/>
      <c r="B25" s="25" t="n"/>
      <c r="O25" s="23" t="n"/>
      <c r="T25" s="69" t="n"/>
      <c r="U25" s="69" t="n"/>
      <c r="V25" s="69" t="n"/>
    </row>
    <row r="26" ht="12" customHeight="1">
      <c r="A26" s="178" t="n"/>
      <c r="O26" s="192" t="n"/>
      <c r="T26" s="69" t="n"/>
      <c r="U26" s="69" t="n"/>
      <c r="V26" s="69" t="n"/>
    </row>
    <row r="27" ht="12" customHeight="1">
      <c r="A27" s="24" t="n"/>
      <c r="B27" s="25" t="n"/>
      <c r="O27" s="23" t="n"/>
      <c r="T27" s="69" t="n"/>
      <c r="U27" s="69" t="n"/>
      <c r="V27" s="69" t="n"/>
    </row>
    <row r="28" ht="12" customHeight="1">
      <c r="A28" s="178" t="n"/>
      <c r="O28" s="192" t="n"/>
      <c r="T28" s="69" t="n"/>
      <c r="U28" s="69" t="n"/>
      <c r="V28" s="69" t="n"/>
    </row>
    <row r="29" ht="12" customHeight="1">
      <c r="A29" s="24" t="n"/>
      <c r="B29" s="25" t="n"/>
      <c r="O29" s="23" t="n"/>
      <c r="T29" s="69" t="n"/>
      <c r="U29" s="69" t="n"/>
      <c r="V29" s="69" t="n"/>
    </row>
    <row r="30" ht="12" customHeight="1">
      <c r="A30" s="178" t="n"/>
      <c r="O30" s="192" t="n"/>
      <c r="T30" s="69" t="n"/>
      <c r="U30" s="69" t="n"/>
      <c r="V30" s="69" t="n"/>
    </row>
    <row r="31" ht="12" customHeight="1">
      <c r="A31" s="24" t="n"/>
      <c r="B31" s="25" t="n"/>
      <c r="O31" s="23" t="n"/>
      <c r="T31" s="69" t="n"/>
      <c r="U31" s="69" t="n"/>
      <c r="V31" s="69" t="n"/>
    </row>
    <row r="32" ht="12" customHeight="1">
      <c r="A32" s="178" t="n"/>
      <c r="O32" s="192" t="n"/>
      <c r="T32" s="69" t="n"/>
      <c r="U32" s="69" t="n"/>
      <c r="V32" s="69" t="n"/>
    </row>
    <row r="33" ht="12" customHeight="1">
      <c r="A33" s="24" t="n"/>
      <c r="B33" s="25" t="n"/>
      <c r="O33" s="23" t="n"/>
      <c r="T33" s="69" t="n"/>
      <c r="U33" s="69" t="n"/>
      <c r="V33" s="69" t="n"/>
    </row>
    <row r="34" ht="12" customHeight="1">
      <c r="A34" s="178" t="n"/>
      <c r="O34" s="192" t="n"/>
      <c r="T34" s="69" t="n"/>
      <c r="U34" s="69" t="n"/>
      <c r="V34" s="69" t="n"/>
    </row>
    <row r="35" ht="12" customHeight="1">
      <c r="A35" s="24" t="n"/>
      <c r="B35" s="25" t="n"/>
      <c r="O35" s="23" t="n"/>
    </row>
    <row r="36" ht="12" customHeight="1">
      <c r="A36" s="178" t="n"/>
      <c r="O36" s="192" t="n"/>
    </row>
    <row r="37" ht="12" customHeight="1">
      <c r="A37" s="24" t="n"/>
      <c r="B37" s="25" t="n"/>
      <c r="O37" s="23" t="n"/>
    </row>
    <row r="38" ht="12" customHeight="1">
      <c r="A38" s="178" t="n"/>
      <c r="O38" s="192" t="n"/>
    </row>
    <row r="39" ht="12" customHeight="1">
      <c r="A39" s="24" t="n"/>
      <c r="B39" s="25" t="n"/>
      <c r="O39" s="23" t="n"/>
    </row>
    <row r="40" ht="12" customHeight="1">
      <c r="A40" s="178" t="n"/>
      <c r="O40" s="192" t="n"/>
    </row>
    <row r="41" ht="12" customHeight="1">
      <c r="A41" s="24" t="n"/>
      <c r="B41" s="25" t="n"/>
      <c r="O41" s="23" t="n"/>
    </row>
    <row r="42" ht="12" customHeight="1">
      <c r="A42" s="178" t="n"/>
      <c r="O42" s="192" t="n"/>
    </row>
    <row r="43" ht="12" customHeight="1">
      <c r="A43" s="24" t="n"/>
      <c r="B43" s="25" t="n"/>
      <c r="O43" s="23" t="n"/>
    </row>
    <row r="44" ht="12" customHeight="1">
      <c r="A44" s="178" t="n"/>
      <c r="O44" s="192" t="n"/>
    </row>
    <row r="45" ht="12" customHeight="1">
      <c r="A45" s="24" t="n"/>
      <c r="B45" s="25" t="n"/>
      <c r="O45" s="23" t="n"/>
    </row>
    <row r="46" ht="12" customHeight="1" thickBot="1">
      <c r="A46" s="178" t="n"/>
      <c r="O46" s="192" t="n"/>
    </row>
    <row r="47" ht="12" customHeight="1">
      <c r="A47" s="26" t="inlineStr">
        <is>
          <t>NOTAS GERAIS / General notes</t>
        </is>
      </c>
      <c r="B47" s="173" t="n"/>
      <c r="C47" s="173" t="n"/>
      <c r="D47" s="173" t="n"/>
      <c r="E47" s="173" t="n"/>
      <c r="F47" s="173" t="n"/>
      <c r="G47" s="173" t="n"/>
      <c r="H47" s="173" t="n"/>
      <c r="I47" s="173" t="n"/>
      <c r="J47" s="173" t="n"/>
      <c r="K47" s="173" t="n"/>
      <c r="L47" s="173" t="n"/>
      <c r="M47" s="173" t="n"/>
      <c r="N47" s="173" t="n"/>
      <c r="O47" s="175" t="n"/>
    </row>
    <row r="48" ht="12" customHeight="1" thickBot="1">
      <c r="A48" s="203" t="n"/>
      <c r="B48" s="181" t="n"/>
      <c r="C48" s="181" t="n"/>
      <c r="D48" s="181" t="n"/>
      <c r="E48" s="181" t="n"/>
      <c r="F48" s="181" t="n"/>
      <c r="G48" s="181" t="n"/>
      <c r="H48" s="181" t="n"/>
      <c r="I48" s="181" t="n"/>
      <c r="J48" s="181" t="n"/>
      <c r="K48" s="181" t="n"/>
      <c r="L48" s="181" t="n"/>
      <c r="M48" s="181" t="n"/>
      <c r="N48" s="181" t="n"/>
      <c r="O48" s="202" t="n"/>
    </row>
    <row r="49" ht="12" customHeight="1">
      <c r="A49" s="24" t="n"/>
      <c r="B49" s="25" t="n"/>
      <c r="O49" s="23" t="n"/>
    </row>
    <row r="50" ht="12" customHeight="1">
      <c r="A50" s="178" t="n"/>
      <c r="O50" s="192" t="n"/>
    </row>
    <row r="51" ht="12" customHeight="1">
      <c r="A51" s="24" t="n"/>
      <c r="B51" s="25" t="n"/>
      <c r="O51" s="23" t="n"/>
    </row>
    <row r="52" ht="12" customHeight="1">
      <c r="A52" s="178" t="n"/>
      <c r="O52" s="192" t="n"/>
    </row>
    <row r="53" ht="12" customHeight="1">
      <c r="A53" s="24" t="n"/>
      <c r="B53" s="25" t="n"/>
      <c r="O53" s="23" t="n"/>
    </row>
    <row r="54" ht="12" customHeight="1">
      <c r="A54" s="178" t="n"/>
      <c r="O54" s="192" t="n"/>
    </row>
    <row r="55" ht="12" customHeight="1">
      <c r="A55" s="24" t="n"/>
      <c r="B55" s="25" t="n"/>
      <c r="O55" s="23" t="n"/>
    </row>
    <row r="56" ht="12" customHeight="1">
      <c r="A56" s="178" t="n"/>
      <c r="O56" s="192" t="n"/>
    </row>
    <row r="57" ht="12" customHeight="1">
      <c r="A57" s="24" t="n"/>
      <c r="B57" s="25" t="n"/>
      <c r="O57" s="23" t="n"/>
    </row>
    <row r="58" ht="12" customHeight="1">
      <c r="A58" s="178" t="n"/>
      <c r="O58" s="192" t="n"/>
    </row>
    <row r="59" ht="12" customHeight="1">
      <c r="A59" s="24" t="n"/>
      <c r="B59" s="25" t="n"/>
      <c r="O59" s="23" t="n"/>
    </row>
    <row r="60" ht="12" customHeight="1">
      <c r="A60" s="178" t="n"/>
      <c r="O60" s="192" t="n"/>
    </row>
    <row r="61" ht="12" customHeight="1">
      <c r="A61" s="24" t="n"/>
      <c r="B61" s="25" t="n"/>
      <c r="O61" s="23" t="n"/>
    </row>
    <row r="62" ht="12" customHeight="1">
      <c r="A62" s="178" t="n"/>
      <c r="O62" s="192" t="n"/>
    </row>
    <row r="63" ht="12" customHeight="1">
      <c r="A63" s="24" t="n"/>
      <c r="B63" s="25" t="n"/>
      <c r="O63" s="23" t="n"/>
    </row>
    <row r="64" ht="12" customHeight="1">
      <c r="A64" s="178" t="n"/>
      <c r="O64" s="192" t="n"/>
    </row>
    <row r="65" ht="12" customHeight="1">
      <c r="A65" s="24" t="n"/>
      <c r="B65" s="25" t="n"/>
      <c r="O65" s="23" t="n"/>
    </row>
    <row r="66" ht="12" customHeight="1">
      <c r="A66" s="178" t="n"/>
      <c r="O66" s="192" t="n"/>
    </row>
    <row r="67" ht="12" customHeight="1">
      <c r="A67" s="24" t="n"/>
      <c r="B67" s="25" t="n"/>
      <c r="O67" s="23" t="n"/>
    </row>
    <row r="68" ht="12" customHeight="1">
      <c r="A68" s="178" t="n"/>
      <c r="O68" s="192" t="n"/>
    </row>
    <row r="69" ht="12" customHeight="1">
      <c r="A69" s="24" t="n"/>
      <c r="B69" s="25" t="n"/>
      <c r="O69" s="23" t="n"/>
    </row>
    <row r="70" ht="12" customHeight="1">
      <c r="A70" s="178" t="n"/>
      <c r="O70" s="192" t="n"/>
    </row>
    <row r="71" ht="12" customHeight="1">
      <c r="A71" s="24" t="n"/>
      <c r="B71" s="25" t="n"/>
      <c r="O71" s="23" t="n"/>
    </row>
    <row r="72" ht="12" customHeight="1">
      <c r="A72" s="178" t="n"/>
      <c r="O72" s="192" t="n"/>
    </row>
    <row r="73" ht="12" customHeight="1">
      <c r="A73" s="24" t="n"/>
      <c r="B73" s="25" t="n"/>
      <c r="O73" s="23" t="n"/>
    </row>
    <row r="74" ht="12" customHeight="1">
      <c r="A74" s="178" t="n"/>
      <c r="O74" s="192" t="n"/>
    </row>
    <row r="75" ht="12" customHeight="1">
      <c r="A75" s="24" t="n"/>
      <c r="B75" s="25" t="n"/>
      <c r="O75" s="23" t="n"/>
    </row>
    <row r="76" ht="12" customHeight="1">
      <c r="A76" s="178" t="n"/>
      <c r="O76" s="192" t="n"/>
    </row>
    <row r="77" ht="12" customHeight="1">
      <c r="A77" s="24" t="n"/>
      <c r="B77" s="25" t="n"/>
      <c r="O77" s="23" t="n"/>
    </row>
    <row r="78" ht="12" customHeight="1">
      <c r="A78" s="178" t="n"/>
      <c r="O78" s="192" t="n"/>
    </row>
    <row r="79" ht="12" customHeight="1">
      <c r="A79" s="204" t="inlineStr">
        <is>
          <t>REVISÃO / Revision</t>
        </is>
      </c>
      <c r="B79" s="205" t="n"/>
      <c r="C79" s="206" t="n"/>
      <c r="D79" s="8" t="n">
        <v>0</v>
      </c>
      <c r="E79" s="8" t="n">
        <v>1</v>
      </c>
      <c r="F79" s="8" t="n">
        <v>2</v>
      </c>
      <c r="G79" s="8" t="n">
        <v>3</v>
      </c>
      <c r="H79" s="8" t="n">
        <v>4</v>
      </c>
      <c r="I79" s="8" t="n">
        <v>5</v>
      </c>
      <c r="J79" s="8" t="n">
        <v>6</v>
      </c>
      <c r="K79" s="8" t="n">
        <v>7</v>
      </c>
      <c r="L79" s="8" t="n">
        <v>8</v>
      </c>
      <c r="M79" s="8" t="n">
        <v>9</v>
      </c>
      <c r="N79" s="8" t="n">
        <v>10</v>
      </c>
      <c r="O79" s="10" t="n">
        <v>11</v>
      </c>
    </row>
    <row r="80" ht="12" customHeight="1">
      <c r="A80" s="204" t="inlineStr">
        <is>
          <t>DATA / Date</t>
        </is>
      </c>
      <c r="B80" s="205" t="n"/>
      <c r="C80" s="206" t="n"/>
      <c r="D80" s="9">
        <f>TODAY()</f>
        <v/>
      </c>
      <c r="E80" s="8" t="n"/>
      <c r="F80" s="8" t="n"/>
      <c r="G80" s="8" t="n"/>
      <c r="H80" s="8" t="n"/>
      <c r="I80" s="8" t="n"/>
      <c r="J80" s="8" t="n"/>
      <c r="K80" s="8" t="n"/>
      <c r="L80" s="8" t="n"/>
      <c r="M80" s="8" t="n"/>
      <c r="N80" s="8" t="n"/>
      <c r="O80" s="10" t="n"/>
    </row>
    <row r="81" ht="12" customHeight="1">
      <c r="A81" s="204" t="inlineStr">
        <is>
          <t>PROJETO / Project</t>
        </is>
      </c>
      <c r="B81" s="205" t="n"/>
      <c r="C81" s="206" t="n"/>
      <c r="D81" s="8">
        <f>Config!D2</f>
        <v/>
      </c>
      <c r="E81" s="11" t="n"/>
      <c r="F81" s="11" t="n"/>
      <c r="G81" s="11" t="n"/>
      <c r="H81" s="11" t="n"/>
      <c r="I81" s="11" t="n"/>
      <c r="J81" s="11" t="n"/>
      <c r="K81" s="11" t="n"/>
      <c r="L81" s="11" t="n"/>
      <c r="M81" s="11" t="n"/>
      <c r="N81" s="11" t="n"/>
      <c r="O81" s="12" t="n"/>
    </row>
    <row r="82" ht="12" customHeight="1">
      <c r="A82" s="204" t="inlineStr">
        <is>
          <t>REALIZADO / Prepared by</t>
        </is>
      </c>
      <c r="B82" s="205" t="n"/>
      <c r="C82" s="206" t="n"/>
      <c r="D82" s="8" t="inlineStr">
        <is>
          <t>MCM</t>
        </is>
      </c>
      <c r="E82" s="11" t="n"/>
      <c r="F82" s="11" t="n"/>
      <c r="G82" s="11" t="n"/>
      <c r="H82" s="11" t="n"/>
      <c r="I82" s="11" t="n"/>
      <c r="J82" s="11" t="n"/>
      <c r="K82" s="11" t="n"/>
      <c r="L82" s="11" t="n"/>
      <c r="M82" s="11" t="n"/>
      <c r="N82" s="11" t="n"/>
      <c r="O82" s="12" t="n"/>
    </row>
    <row r="83" ht="12" customHeight="1">
      <c r="A83" s="204" t="inlineStr">
        <is>
          <t>VERIFICAÇÃO / Verified by</t>
        </is>
      </c>
      <c r="B83" s="205" t="n"/>
      <c r="C83" s="206" t="n"/>
      <c r="D83" s="9" t="inlineStr">
        <is>
          <t>JLMJ</t>
        </is>
      </c>
      <c r="E83" s="11" t="n"/>
      <c r="F83" s="11" t="n"/>
      <c r="G83" s="11" t="n"/>
      <c r="H83" s="11" t="n"/>
      <c r="I83" s="11" t="n"/>
      <c r="J83" s="11" t="n"/>
      <c r="K83" s="11" t="n"/>
      <c r="L83" s="11" t="n"/>
      <c r="M83" s="11" t="n"/>
      <c r="N83" s="11" t="n"/>
      <c r="O83" s="12" t="n"/>
    </row>
    <row r="84" ht="12" customHeight="1" thickBot="1">
      <c r="A84" s="207" t="inlineStr">
        <is>
          <t>APROVAÇÃO / Approved by</t>
        </is>
      </c>
      <c r="B84" s="208" t="n"/>
      <c r="C84" s="209" t="n"/>
      <c r="D84" s="13" t="inlineStr">
        <is>
          <t>CACC</t>
        </is>
      </c>
      <c r="E84" s="14" t="n"/>
      <c r="F84" s="14" t="n"/>
      <c r="G84" s="14" t="n"/>
      <c r="H84" s="14" t="n"/>
      <c r="I84" s="14" t="n"/>
      <c r="J84" s="14" t="n"/>
      <c r="K84" s="14" t="n"/>
      <c r="L84" s="14" t="n"/>
      <c r="M84" s="14" t="n"/>
      <c r="N84" s="14" t="n"/>
      <c r="O84" s="15" t="n"/>
    </row>
  </sheetData>
  <mergeCells count="117">
    <mergeCell ref="A5:C8"/>
    <mergeCell ref="A80:C80"/>
    <mergeCell ref="B27:N28"/>
    <mergeCell ref="A51:A52"/>
    <mergeCell ref="B17:N18"/>
    <mergeCell ref="B77:N78"/>
    <mergeCell ref="O63:O64"/>
    <mergeCell ref="A27:A28"/>
    <mergeCell ref="A71:A72"/>
    <mergeCell ref="B67:N68"/>
    <mergeCell ref="J1:O2"/>
    <mergeCell ref="D7:D8"/>
    <mergeCell ref="B69:N70"/>
    <mergeCell ref="A1:C4"/>
    <mergeCell ref="B53:N54"/>
    <mergeCell ref="A33:A34"/>
    <mergeCell ref="O17:O18"/>
    <mergeCell ref="A77:A78"/>
    <mergeCell ref="A83:C83"/>
    <mergeCell ref="O27:O28"/>
    <mergeCell ref="B55:N56"/>
    <mergeCell ref="O67:O68"/>
    <mergeCell ref="A53:A54"/>
    <mergeCell ref="A35:A36"/>
    <mergeCell ref="O19:O20"/>
    <mergeCell ref="B45:N46"/>
    <mergeCell ref="A59:A60"/>
    <mergeCell ref="O39:O40"/>
    <mergeCell ref="O53:O54"/>
    <mergeCell ref="B13:O14"/>
    <mergeCell ref="A61:A62"/>
    <mergeCell ref="B31:N32"/>
    <mergeCell ref="B71:N72"/>
    <mergeCell ref="A45:A46"/>
    <mergeCell ref="B15:O16"/>
    <mergeCell ref="O45:O46"/>
    <mergeCell ref="B73:N74"/>
    <mergeCell ref="A65:A66"/>
    <mergeCell ref="O29:O30"/>
    <mergeCell ref="B57:N58"/>
    <mergeCell ref="O65:O66"/>
    <mergeCell ref="A11:O12"/>
    <mergeCell ref="A37:A38"/>
    <mergeCell ref="D3:D4"/>
    <mergeCell ref="E7:O8"/>
    <mergeCell ref="A81:C81"/>
    <mergeCell ref="O31:O32"/>
    <mergeCell ref="B19:N20"/>
    <mergeCell ref="A21:A22"/>
    <mergeCell ref="O71:O72"/>
    <mergeCell ref="D9:D10"/>
    <mergeCell ref="A57:A58"/>
    <mergeCell ref="A17:A18"/>
    <mergeCell ref="B49:N50"/>
    <mergeCell ref="O51:O52"/>
    <mergeCell ref="A23:A24"/>
    <mergeCell ref="O73:O74"/>
    <mergeCell ref="A63:A64"/>
    <mergeCell ref="B33:N34"/>
    <mergeCell ref="A19:A20"/>
    <mergeCell ref="O23:O24"/>
    <mergeCell ref="A82:C82"/>
    <mergeCell ref="O57:O58"/>
    <mergeCell ref="A43:A44"/>
    <mergeCell ref="A39:A40"/>
    <mergeCell ref="B75:N76"/>
    <mergeCell ref="O77:O78"/>
    <mergeCell ref="A49:A50"/>
    <mergeCell ref="E9:O10"/>
    <mergeCell ref="O49:O50"/>
    <mergeCell ref="B21:N22"/>
    <mergeCell ref="A84:C84"/>
    <mergeCell ref="O33:O34"/>
    <mergeCell ref="B61:N62"/>
    <mergeCell ref="A41:A42"/>
    <mergeCell ref="A9:C10"/>
    <mergeCell ref="O69:O70"/>
    <mergeCell ref="O35:O36"/>
    <mergeCell ref="O75:O76"/>
    <mergeCell ref="B39:N40"/>
    <mergeCell ref="O25:O26"/>
    <mergeCell ref="O55:O56"/>
    <mergeCell ref="O21:O22"/>
    <mergeCell ref="A13:A14"/>
    <mergeCell ref="B65:N66"/>
    <mergeCell ref="I1:I2"/>
    <mergeCell ref="A79:C79"/>
    <mergeCell ref="B51:N52"/>
    <mergeCell ref="A31:A32"/>
    <mergeCell ref="A67:A68"/>
    <mergeCell ref="B41:N42"/>
    <mergeCell ref="B35:N36"/>
    <mergeCell ref="B59:N60"/>
    <mergeCell ref="A47:O48"/>
    <mergeCell ref="A69:A70"/>
    <mergeCell ref="B43:N44"/>
    <mergeCell ref="A75:A76"/>
    <mergeCell ref="B29:N30"/>
    <mergeCell ref="B23:N24"/>
    <mergeCell ref="A25:A26"/>
    <mergeCell ref="A55:A56"/>
    <mergeCell ref="O41:O42"/>
    <mergeCell ref="O59:O60"/>
    <mergeCell ref="O43:O44"/>
    <mergeCell ref="B37:N38"/>
    <mergeCell ref="E3:O4"/>
    <mergeCell ref="O61:O62"/>
    <mergeCell ref="U16:U23"/>
    <mergeCell ref="A29:A30"/>
    <mergeCell ref="D1:H2"/>
    <mergeCell ref="E5:O6"/>
    <mergeCell ref="D5:D6"/>
    <mergeCell ref="B63:N64"/>
    <mergeCell ref="A15:A16"/>
    <mergeCell ref="A73:A74"/>
    <mergeCell ref="O37:O38"/>
    <mergeCell ref="B25:N26"/>
  </mergeCells>
  <pageMargins left="0.5118110236220472" right="0.5118110236220472" top="0.7874015748031497" bottom="0.7874015748031497" header="0.3149606299212598" footer="0.3149606299212598"/>
  <pageSetup orientation="portrait" paperSize="9" scale="76"/>
</worksheet>
</file>

<file path=xl/worksheets/sheet3.xml><?xml version="1.0" encoding="utf-8"?>
<worksheet xmlns="http://schemas.openxmlformats.org/spreadsheetml/2006/main">
  <sheetPr codeName="Planilha2">
    <outlinePr summaryBelow="1" summaryRight="1"/>
    <pageSetUpPr fitToPage="1"/>
  </sheetPr>
  <dimension ref="A1:Z54"/>
  <sheetViews>
    <sheetView showGridLines="0" tabSelected="1" view="pageBreakPreview" zoomScale="85" zoomScaleNormal="70" zoomScaleSheetLayoutView="85" workbookViewId="0">
      <selection activeCell="U19" sqref="U19"/>
    </sheetView>
  </sheetViews>
  <sheetFormatPr baseColWidth="8" defaultRowHeight="13.2"/>
  <cols>
    <col width="35.109375" bestFit="1" customWidth="1" style="137" min="1" max="1"/>
    <col width="4.88671875" customWidth="1" style="137" min="2" max="19"/>
  </cols>
  <sheetData>
    <row r="1" ht="14.25" customHeight="1">
      <c r="A1" s="210">
        <f>_xlfn.IMAGE("https://technikgrupo.sharepoint.com/sites/transfer/Logos/Technik.png")</f>
        <v/>
      </c>
      <c r="B1" s="211" t="inlineStr">
        <is>
          <t>FOLHA DE DADOS</t>
        </is>
      </c>
      <c r="C1" s="212" t="n"/>
      <c r="D1" s="212" t="n"/>
      <c r="E1" s="212" t="n"/>
      <c r="F1" s="212" t="n"/>
      <c r="G1" s="212" t="n"/>
      <c r="H1" s="213" t="n"/>
      <c r="I1" s="19" t="inlineStr">
        <is>
          <t>Nº.:</t>
        </is>
      </c>
      <c r="J1" s="166">
        <f>"FD-"&amp;Config!D2&amp;"-"&amp;Config!F2&amp;"-001"</f>
        <v/>
      </c>
      <c r="K1" s="212" t="n"/>
      <c r="L1" s="212" t="n"/>
      <c r="M1" s="212" t="n"/>
      <c r="N1" s="212" t="n"/>
      <c r="O1" s="212" t="n"/>
      <c r="P1" s="212" t="n"/>
      <c r="Q1" s="212" t="n"/>
      <c r="R1" s="212" t="n"/>
      <c r="S1" s="214" t="n"/>
    </row>
    <row r="2" ht="14.25" customHeight="1">
      <c r="A2" s="215" t="n"/>
      <c r="B2" s="20" t="inlineStr">
        <is>
          <t>ÁREA:</t>
        </is>
      </c>
      <c r="C2" s="164" t="inlineStr">
        <is>
          <t>PÁTIO D3</t>
        </is>
      </c>
      <c r="D2" s="205" t="n"/>
      <c r="E2" s="205" t="n"/>
      <c r="F2" s="205" t="n"/>
      <c r="G2" s="205" t="n"/>
      <c r="H2" s="205" t="n"/>
      <c r="I2" s="205" t="n"/>
      <c r="J2" s="205" t="n"/>
      <c r="K2" s="205" t="n"/>
      <c r="L2" s="205" t="n"/>
      <c r="M2" s="205" t="n"/>
      <c r="N2" s="205" t="n"/>
      <c r="O2" s="205" t="n"/>
      <c r="P2" s="205" t="n"/>
      <c r="Q2" s="205" t="n"/>
      <c r="R2" s="205" t="n"/>
      <c r="S2" s="216" t="n"/>
    </row>
    <row r="3" ht="14.25" customHeight="1">
      <c r="A3" s="215" t="n"/>
      <c r="B3" s="217" t="inlineStr">
        <is>
          <t>VÁLVULA ON OFF</t>
        </is>
      </c>
      <c r="C3" s="184" t="n"/>
      <c r="D3" s="184" t="n"/>
      <c r="E3" s="184" t="n"/>
      <c r="F3" s="184" t="n"/>
      <c r="G3" s="184" t="n"/>
      <c r="H3" s="184" t="n"/>
      <c r="I3" s="184" t="n"/>
      <c r="J3" s="184" t="n"/>
      <c r="K3" s="184" t="n"/>
      <c r="L3" s="184" t="n"/>
      <c r="M3" s="184" t="n"/>
      <c r="N3" s="184" t="n"/>
      <c r="O3" s="184" t="n"/>
      <c r="P3" s="184" t="n"/>
      <c r="Q3" s="184" t="n"/>
      <c r="R3" s="184" t="n"/>
      <c r="S3" s="185" t="n"/>
    </row>
    <row r="4" ht="14.25" customHeight="1" thickBot="1">
      <c r="A4" s="218" t="n"/>
      <c r="B4" s="219" t="n"/>
      <c r="C4" s="197" t="n"/>
      <c r="D4" s="197" t="n"/>
      <c r="E4" s="197" t="n"/>
      <c r="F4" s="197" t="n"/>
      <c r="G4" s="197" t="n"/>
      <c r="H4" s="197" t="n"/>
      <c r="I4" s="197" t="n"/>
      <c r="J4" s="197" t="n"/>
      <c r="K4" s="197" t="n"/>
      <c r="L4" s="197" t="n"/>
      <c r="M4" s="197" t="n"/>
      <c r="N4" s="197" t="n"/>
      <c r="O4" s="197" t="n"/>
      <c r="P4" s="197" t="n"/>
      <c r="Q4" s="197" t="n"/>
      <c r="R4" s="197" t="n"/>
      <c r="S4" s="199" t="n"/>
    </row>
    <row r="5" ht="13.8" customHeight="1" thickBot="1">
      <c r="A5" s="220" t="inlineStr">
        <is>
          <t>GERAL</t>
        </is>
      </c>
      <c r="B5" s="221" t="n"/>
      <c r="C5" s="221" t="n"/>
      <c r="D5" s="221" t="n"/>
      <c r="E5" s="221" t="n"/>
      <c r="F5" s="221" t="n"/>
      <c r="G5" s="222" t="n"/>
      <c r="H5" s="220" t="inlineStr">
        <is>
          <t>VÁLVULA SOLENÓIDE</t>
        </is>
      </c>
      <c r="I5" s="221" t="n"/>
      <c r="J5" s="221" t="n"/>
      <c r="K5" s="221" t="n"/>
      <c r="L5" s="221" t="n"/>
      <c r="M5" s="221" t="n"/>
      <c r="N5" s="221" t="n"/>
      <c r="O5" s="221" t="n"/>
      <c r="P5" s="221" t="n"/>
      <c r="Q5" s="221" t="n"/>
      <c r="R5" s="221" t="n"/>
      <c r="S5" s="222" t="n"/>
    </row>
    <row r="6">
      <c r="A6" s="17" t="inlineStr">
        <is>
          <t>TAG / Quantidade</t>
        </is>
      </c>
      <c r="B6" s="167" t="n"/>
      <c r="C6" s="181" t="n"/>
      <c r="D6" s="181" t="n"/>
      <c r="E6" s="181" t="n"/>
      <c r="F6" s="181" t="n"/>
      <c r="G6" s="181" t="n"/>
      <c r="H6" s="18" t="inlineStr">
        <is>
          <t>TAG</t>
        </is>
      </c>
      <c r="I6" s="212" t="n"/>
      <c r="J6" s="212" t="n"/>
      <c r="K6" s="212" t="n"/>
      <c r="L6" s="212" t="n"/>
      <c r="M6" s="213" t="n"/>
      <c r="N6" s="223" t="n"/>
      <c r="O6" s="173" t="n"/>
      <c r="P6" s="173" t="n"/>
      <c r="Q6" s="173" t="n"/>
      <c r="R6" s="173" t="n"/>
      <c r="S6" s="177" t="n"/>
    </row>
    <row r="7">
      <c r="A7" s="3" t="inlineStr">
        <is>
          <t>Função</t>
        </is>
      </c>
      <c r="B7" s="158" t="n"/>
      <c r="C7" s="205" t="n"/>
      <c r="D7" s="205" t="n"/>
      <c r="E7" s="205" t="n"/>
      <c r="F7" s="205" t="n"/>
      <c r="G7" s="205" t="n"/>
      <c r="H7" s="3" t="inlineStr">
        <is>
          <t>Tipo</t>
        </is>
      </c>
      <c r="I7" s="205" t="n"/>
      <c r="J7" s="205" t="n"/>
      <c r="K7" s="205" t="n"/>
      <c r="L7" s="205" t="n"/>
      <c r="M7" s="206" t="n"/>
      <c r="N7" s="224" t="n"/>
      <c r="O7" s="184" t="n"/>
      <c r="P7" s="184" t="n"/>
      <c r="Q7" s="184" t="n"/>
      <c r="R7" s="184" t="n"/>
      <c r="S7" s="185" t="n"/>
    </row>
    <row r="8">
      <c r="A8" s="4" t="inlineStr">
        <is>
          <t>Fluxograma</t>
        </is>
      </c>
      <c r="B8" s="158" t="n"/>
      <c r="C8" s="205" t="n"/>
      <c r="D8" s="205" t="n"/>
      <c r="E8" s="205" t="n"/>
      <c r="F8" s="205" t="n"/>
      <c r="G8" s="205" t="n"/>
      <c r="H8" s="3" t="inlineStr">
        <is>
          <t>Número de vias/posições</t>
        </is>
      </c>
      <c r="I8" s="205" t="n"/>
      <c r="J8" s="205" t="n"/>
      <c r="K8" s="205" t="n"/>
      <c r="L8" s="205" t="n"/>
      <c r="M8" s="206" t="n"/>
      <c r="N8" s="224" t="n"/>
      <c r="O8" s="184" t="n"/>
      <c r="P8" s="184" t="n"/>
      <c r="Q8" s="184" t="n"/>
      <c r="R8" s="184" t="n"/>
      <c r="S8" s="185" t="n"/>
    </row>
    <row r="9">
      <c r="A9" s="3" t="inlineStr">
        <is>
          <t>Bitola da linha</t>
        </is>
      </c>
      <c r="B9" s="158" t="n"/>
      <c r="C9" s="205" t="n"/>
      <c r="D9" s="205" t="n"/>
      <c r="E9" s="205" t="n"/>
      <c r="F9" s="205" t="n"/>
      <c r="G9" s="205" t="n"/>
      <c r="H9" s="3" t="inlineStr">
        <is>
          <t>Material do corpo</t>
        </is>
      </c>
      <c r="I9" s="205" t="n"/>
      <c r="J9" s="205" t="n"/>
      <c r="K9" s="205" t="n"/>
      <c r="L9" s="205" t="n"/>
      <c r="M9" s="206" t="n"/>
      <c r="N9" s="224" t="n"/>
      <c r="O9" s="184" t="n"/>
      <c r="P9" s="184" t="n"/>
      <c r="Q9" s="184" t="n"/>
      <c r="R9" s="184" t="n"/>
      <c r="S9" s="185" t="n"/>
    </row>
    <row r="10">
      <c r="A10" s="3" t="inlineStr">
        <is>
          <t>Tipo do corpo</t>
        </is>
      </c>
      <c r="B10" s="158" t="n"/>
      <c r="C10" s="205" t="n"/>
      <c r="D10" s="205" t="n"/>
      <c r="E10" s="205" t="n"/>
      <c r="F10" s="205" t="n"/>
      <c r="G10" s="205" t="n"/>
      <c r="H10" s="3" t="inlineStr">
        <is>
          <t>Classe da bobina</t>
        </is>
      </c>
      <c r="I10" s="205" t="n"/>
      <c r="J10" s="205" t="n"/>
      <c r="K10" s="205" t="n"/>
      <c r="L10" s="205" t="n"/>
      <c r="M10" s="206" t="n"/>
      <c r="N10" s="224" t="n"/>
      <c r="O10" s="184" t="n"/>
      <c r="P10" s="184" t="n"/>
      <c r="Q10" s="184" t="n"/>
      <c r="R10" s="184" t="n"/>
      <c r="S10" s="185" t="n"/>
    </row>
    <row r="11">
      <c r="A11" s="3" t="inlineStr">
        <is>
          <t>Material do corpo</t>
        </is>
      </c>
      <c r="B11" s="158" t="n"/>
      <c r="C11" s="205" t="n"/>
      <c r="D11" s="205" t="n"/>
      <c r="E11" s="205" t="n"/>
      <c r="F11" s="205" t="n"/>
      <c r="G11" s="205" t="n"/>
      <c r="H11" s="3" t="inlineStr">
        <is>
          <t>Número de bobinas</t>
        </is>
      </c>
      <c r="I11" s="205" t="n"/>
      <c r="J11" s="205" t="n"/>
      <c r="K11" s="205" t="n"/>
      <c r="L11" s="205" t="n"/>
      <c r="M11" s="206" t="n"/>
      <c r="N11" s="224" t="n"/>
      <c r="O11" s="184" t="n"/>
      <c r="P11" s="184" t="n"/>
      <c r="Q11" s="184" t="n"/>
      <c r="R11" s="184" t="n"/>
      <c r="S11" s="185" t="n"/>
    </row>
    <row r="12">
      <c r="A12" s="3" t="inlineStr">
        <is>
          <t>Diâmetro da válvula</t>
        </is>
      </c>
      <c r="B12" s="158" t="n"/>
      <c r="C12" s="205" t="n"/>
      <c r="D12" s="205" t="n"/>
      <c r="E12" s="205" t="n"/>
      <c r="F12" s="205" t="n"/>
      <c r="G12" s="205" t="n"/>
      <c r="H12" s="3" t="inlineStr">
        <is>
          <t>Conexão elétrica</t>
        </is>
      </c>
      <c r="I12" s="205" t="n"/>
      <c r="J12" s="205" t="n"/>
      <c r="K12" s="205" t="n"/>
      <c r="L12" s="205" t="n"/>
      <c r="M12" s="206" t="n"/>
      <c r="N12" s="224" t="n"/>
      <c r="O12" s="184" t="n"/>
      <c r="P12" s="184" t="n"/>
      <c r="Q12" s="184" t="n"/>
      <c r="R12" s="184" t="n"/>
      <c r="S12" s="185" t="n"/>
    </row>
    <row r="13">
      <c r="A13" s="3" t="inlineStr">
        <is>
          <t>Conexões e faceamento</t>
        </is>
      </c>
      <c r="B13" s="148" t="n"/>
      <c r="C13" s="205" t="n"/>
      <c r="D13" s="205" t="n"/>
      <c r="E13" s="205" t="n"/>
      <c r="F13" s="205" t="n"/>
      <c r="G13" s="205" t="n"/>
      <c r="H13" s="3" t="inlineStr">
        <is>
          <t>Conexão pneumática</t>
        </is>
      </c>
      <c r="I13" s="205" t="n"/>
      <c r="J13" s="205" t="n"/>
      <c r="K13" s="205" t="n"/>
      <c r="L13" s="205" t="n"/>
      <c r="M13" s="206" t="n"/>
      <c r="N13" s="224" t="n"/>
      <c r="O13" s="184" t="n"/>
      <c r="P13" s="184" t="n"/>
      <c r="Q13" s="184" t="n"/>
      <c r="R13" s="184" t="n"/>
      <c r="S13" s="185" t="n"/>
    </row>
    <row r="14">
      <c r="A14" s="3" t="inlineStr">
        <is>
          <t>Castelo</t>
        </is>
      </c>
      <c r="B14" s="148" t="n"/>
      <c r="C14" s="205" t="n"/>
      <c r="D14" s="205" t="n"/>
      <c r="E14" s="205" t="n"/>
      <c r="F14" s="205" t="n"/>
      <c r="G14" s="205" t="n"/>
      <c r="H14" s="3" t="inlineStr">
        <is>
          <t>Classificação da área</t>
        </is>
      </c>
      <c r="I14" s="205" t="n"/>
      <c r="J14" s="205" t="n"/>
      <c r="K14" s="205" t="n"/>
      <c r="L14" s="205" t="n"/>
      <c r="M14" s="206" t="n"/>
      <c r="N14" s="224" t="n"/>
      <c r="O14" s="184" t="n"/>
      <c r="P14" s="184" t="n"/>
      <c r="Q14" s="184" t="n"/>
      <c r="R14" s="184" t="n"/>
      <c r="S14" s="185" t="n"/>
    </row>
    <row r="15" ht="13.8" customHeight="1" thickBot="1">
      <c r="A15" s="16" t="inlineStr">
        <is>
          <t>Classe de vedação</t>
        </is>
      </c>
      <c r="B15" s="150" t="n"/>
      <c r="C15" s="184" t="n"/>
      <c r="D15" s="184" t="n"/>
      <c r="E15" s="184" t="n"/>
      <c r="F15" s="184" t="n"/>
      <c r="G15" s="184" t="n"/>
      <c r="H15" s="6" t="inlineStr">
        <is>
          <t>Classificação do invólucro</t>
        </is>
      </c>
      <c r="I15" s="208" t="n"/>
      <c r="J15" s="208" t="n"/>
      <c r="K15" s="208" t="n"/>
      <c r="L15" s="208" t="n"/>
      <c r="M15" s="209" t="n"/>
      <c r="N15" s="225" t="n"/>
      <c r="O15" s="208" t="n"/>
      <c r="P15" s="208" t="n"/>
      <c r="Q15" s="208" t="n"/>
      <c r="R15" s="208" t="n"/>
      <c r="S15" s="226" t="n"/>
    </row>
    <row r="16" ht="13.8" customHeight="1" thickBot="1">
      <c r="A16" s="220" t="inlineStr">
        <is>
          <t>INTERNOS</t>
        </is>
      </c>
      <c r="B16" s="221" t="n"/>
      <c r="C16" s="221" t="n"/>
      <c r="D16" s="221" t="n"/>
      <c r="E16" s="221" t="n"/>
      <c r="F16" s="221" t="n"/>
      <c r="G16" s="222" t="n"/>
      <c r="H16" s="220" t="inlineStr">
        <is>
          <t>FINS DE CURSO</t>
        </is>
      </c>
      <c r="I16" s="221" t="n"/>
      <c r="J16" s="221" t="n"/>
      <c r="K16" s="221" t="n"/>
      <c r="L16" s="221" t="n"/>
      <c r="M16" s="221" t="n"/>
      <c r="N16" s="221" t="n"/>
      <c r="O16" s="221" t="n"/>
      <c r="P16" s="221" t="n"/>
      <c r="Q16" s="221" t="n"/>
      <c r="R16" s="221" t="n"/>
      <c r="S16" s="222" t="n"/>
      <c r="X16" s="69" t="n"/>
      <c r="Y16" s="69" t="n"/>
      <c r="Z16" s="69" t="n"/>
    </row>
    <row r="17">
      <c r="A17" s="18" t="inlineStr">
        <is>
          <t>Material das gaxetas</t>
        </is>
      </c>
      <c r="B17" s="227" t="n"/>
      <c r="C17" s="212" t="n"/>
      <c r="D17" s="212" t="n"/>
      <c r="E17" s="212" t="n"/>
      <c r="F17" s="212" t="n"/>
      <c r="G17" s="214" t="n"/>
      <c r="H17" s="146" t="inlineStr">
        <is>
          <t>TAG</t>
        </is>
      </c>
      <c r="I17" s="181" t="n"/>
      <c r="J17" s="181" t="n"/>
      <c r="K17" s="181" t="n"/>
      <c r="L17" s="181" t="n"/>
      <c r="M17" s="202" t="n"/>
      <c r="N17" s="228" t="n"/>
      <c r="S17" s="192" t="n"/>
      <c r="X17" s="69" t="n"/>
      <c r="Z17" s="69" t="n"/>
    </row>
    <row r="18">
      <c r="A18" s="3" t="inlineStr">
        <is>
          <t>Sede</t>
        </is>
      </c>
      <c r="B18" s="229" t="n"/>
      <c r="C18" s="205" t="n"/>
      <c r="D18" s="205" t="n"/>
      <c r="E18" s="205" t="n"/>
      <c r="F18" s="205" t="n"/>
      <c r="G18" s="216" t="n"/>
      <c r="H18" s="130" t="inlineStr">
        <is>
          <t>Tipo</t>
        </is>
      </c>
      <c r="I18" s="205" t="n"/>
      <c r="J18" s="205" t="n"/>
      <c r="K18" s="205" t="n"/>
      <c r="L18" s="205" t="n"/>
      <c r="M18" s="206" t="n"/>
      <c r="N18" s="224" t="n"/>
      <c r="O18" s="184" t="n"/>
      <c r="P18" s="184" t="n"/>
      <c r="Q18" s="184" t="n"/>
      <c r="R18" s="184" t="n"/>
      <c r="S18" s="185" t="n"/>
      <c r="X18" s="69" t="n"/>
      <c r="Z18" s="69" t="n"/>
    </row>
    <row r="19">
      <c r="A19" s="5" t="inlineStr">
        <is>
          <t>Material do disco</t>
        </is>
      </c>
      <c r="B19" s="229" t="n"/>
      <c r="C19" s="205" t="n"/>
      <c r="D19" s="205" t="n"/>
      <c r="E19" s="205" t="n"/>
      <c r="F19" s="205" t="n"/>
      <c r="G19" s="216" t="n"/>
      <c r="H19" s="130" t="inlineStr">
        <is>
          <t>Quantidade</t>
        </is>
      </c>
      <c r="I19" s="205" t="n"/>
      <c r="J19" s="205" t="n"/>
      <c r="K19" s="205" t="n"/>
      <c r="L19" s="205" t="n"/>
      <c r="M19" s="206" t="n"/>
      <c r="N19" s="224" t="n"/>
      <c r="O19" s="184" t="n"/>
      <c r="P19" s="184" t="n"/>
      <c r="Q19" s="184" t="n"/>
      <c r="R19" s="184" t="n"/>
      <c r="S19" s="185" t="n"/>
      <c r="X19" s="69" t="n"/>
      <c r="Z19" s="69" t="n"/>
    </row>
    <row r="20">
      <c r="A20" s="5" t="inlineStr">
        <is>
          <t>Material da haste</t>
        </is>
      </c>
      <c r="B20" s="229" t="n"/>
      <c r="C20" s="205" t="n"/>
      <c r="D20" s="205" t="n"/>
      <c r="E20" s="205" t="n"/>
      <c r="F20" s="205" t="n"/>
      <c r="G20" s="216" t="n"/>
      <c r="H20" s="130" t="inlineStr">
        <is>
          <t>Tipo dos contatos</t>
        </is>
      </c>
      <c r="I20" s="205" t="n"/>
      <c r="J20" s="205" t="n"/>
      <c r="K20" s="205" t="n"/>
      <c r="L20" s="205" t="n"/>
      <c r="M20" s="206" t="n"/>
      <c r="N20" s="224" t="n"/>
      <c r="O20" s="184" t="n"/>
      <c r="P20" s="184" t="n"/>
      <c r="Q20" s="184" t="n"/>
      <c r="R20" s="184" t="n"/>
      <c r="S20" s="185" t="n"/>
      <c r="X20" s="69" t="n"/>
      <c r="Z20" s="69" t="n"/>
    </row>
    <row r="21">
      <c r="A21" s="3" t="inlineStr">
        <is>
          <t>Obturador balanceado</t>
        </is>
      </c>
      <c r="B21" s="229" t="n"/>
      <c r="C21" s="205" t="n"/>
      <c r="D21" s="205" t="n"/>
      <c r="E21" s="205" t="n"/>
      <c r="F21" s="205" t="n"/>
      <c r="G21" s="216" t="n"/>
      <c r="H21" s="130" t="inlineStr">
        <is>
          <t>Conexão elétrica</t>
        </is>
      </c>
      <c r="I21" s="205" t="n"/>
      <c r="J21" s="205" t="n"/>
      <c r="K21" s="205" t="n"/>
      <c r="L21" s="205" t="n"/>
      <c r="M21" s="206" t="n"/>
      <c r="N21" s="224" t="n"/>
      <c r="O21" s="184" t="n"/>
      <c r="P21" s="184" t="n"/>
      <c r="Q21" s="184" t="n"/>
      <c r="R21" s="184" t="n"/>
      <c r="S21" s="185" t="n"/>
      <c r="X21" s="69" t="n"/>
      <c r="Z21" s="69" t="n"/>
    </row>
    <row r="22">
      <c r="A22" s="3" t="inlineStr">
        <is>
          <t>Direção do fluxo</t>
        </is>
      </c>
      <c r="B22" s="229" t="n"/>
      <c r="C22" s="205" t="n"/>
      <c r="D22" s="205" t="n"/>
      <c r="E22" s="205" t="n"/>
      <c r="F22" s="205" t="n"/>
      <c r="G22" s="216" t="n"/>
      <c r="H22" s="130" t="inlineStr">
        <is>
          <t>Classificação de área</t>
        </is>
      </c>
      <c r="I22" s="205" t="n"/>
      <c r="J22" s="205" t="n"/>
      <c r="K22" s="205" t="n"/>
      <c r="L22" s="205" t="n"/>
      <c r="M22" s="206" t="n"/>
      <c r="N22" s="224" t="n"/>
      <c r="O22" s="184" t="n"/>
      <c r="P22" s="184" t="n"/>
      <c r="Q22" s="184" t="n"/>
      <c r="R22" s="184" t="n"/>
      <c r="S22" s="185" t="n"/>
      <c r="X22" s="69" t="n"/>
      <c r="Z22" s="69" t="n"/>
    </row>
    <row r="23" ht="13.8" customHeight="1" thickBot="1">
      <c r="A23" s="6" t="inlineStr">
        <is>
          <t>Guias</t>
        </is>
      </c>
      <c r="B23" s="230" t="n"/>
      <c r="C23" s="208" t="n"/>
      <c r="D23" s="208" t="n"/>
      <c r="E23" s="208" t="n"/>
      <c r="F23" s="208" t="n"/>
      <c r="G23" s="226" t="n"/>
      <c r="H23" s="147" t="inlineStr">
        <is>
          <t>Classificação do invólucro</t>
        </is>
      </c>
      <c r="I23" s="184" t="n"/>
      <c r="J23" s="184" t="n"/>
      <c r="K23" s="184" t="n"/>
      <c r="L23" s="184" t="n"/>
      <c r="M23" s="231" t="n"/>
      <c r="N23" s="224" t="n"/>
      <c r="O23" s="184" t="n"/>
      <c r="P23" s="184" t="n"/>
      <c r="Q23" s="184" t="n"/>
      <c r="R23" s="184" t="n"/>
      <c r="S23" s="185" t="n"/>
      <c r="X23" s="69" t="n"/>
      <c r="Z23" s="69" t="n"/>
    </row>
    <row r="24" ht="13.8" customHeight="1" thickBot="1">
      <c r="A24" s="220" t="inlineStr">
        <is>
          <t>ATUADOR</t>
        </is>
      </c>
      <c r="B24" s="221" t="n"/>
      <c r="C24" s="221" t="n"/>
      <c r="D24" s="221" t="n"/>
      <c r="E24" s="221" t="n"/>
      <c r="F24" s="221" t="n"/>
      <c r="G24" s="222" t="n"/>
      <c r="H24" s="220" t="inlineStr">
        <is>
          <t>DADOS DE PROCESSO</t>
        </is>
      </c>
      <c r="I24" s="221" t="n"/>
      <c r="J24" s="221" t="n"/>
      <c r="K24" s="221" t="n"/>
      <c r="L24" s="221" t="n"/>
      <c r="M24" s="221" t="n"/>
      <c r="N24" s="221" t="n"/>
      <c r="O24" s="221" t="n"/>
      <c r="P24" s="221" t="n"/>
      <c r="Q24" s="221" t="n"/>
      <c r="R24" s="221" t="n"/>
      <c r="S24" s="222" t="n"/>
    </row>
    <row r="25">
      <c r="A25" s="17" t="inlineStr">
        <is>
          <t>Tipo</t>
        </is>
      </c>
      <c r="B25" s="152" t="n"/>
      <c r="C25" s="181" t="n"/>
      <c r="D25" s="181" t="n"/>
      <c r="E25" s="181" t="n"/>
      <c r="F25" s="181" t="n"/>
      <c r="G25" s="181" t="n"/>
      <c r="H25" s="18" t="inlineStr">
        <is>
          <t>Fluido</t>
        </is>
      </c>
      <c r="I25" s="212" t="n"/>
      <c r="J25" s="212" t="n"/>
      <c r="K25" s="212" t="n"/>
      <c r="L25" s="212" t="n"/>
      <c r="M25" s="213" t="n"/>
      <c r="N25" s="232" t="n"/>
      <c r="O25" s="173" t="n"/>
      <c r="P25" s="173" t="n"/>
      <c r="Q25" s="173" t="n"/>
      <c r="R25" s="173" t="n"/>
      <c r="S25" s="177" t="n"/>
    </row>
    <row r="26">
      <c r="A26" s="3" t="inlineStr">
        <is>
          <t>Range</t>
        </is>
      </c>
      <c r="B26" s="148" t="n"/>
      <c r="C26" s="205" t="n"/>
      <c r="D26" s="205" t="n"/>
      <c r="E26" s="205" t="n"/>
      <c r="F26" s="205" t="n"/>
      <c r="G26" s="205" t="n"/>
      <c r="H26" s="3" t="inlineStr">
        <is>
          <t>Estado físico</t>
        </is>
      </c>
      <c r="I26" s="205" t="n"/>
      <c r="J26" s="205" t="n"/>
      <c r="K26" s="205" t="n"/>
      <c r="L26" s="205" t="n"/>
      <c r="M26" s="206" t="n"/>
      <c r="N26" s="233" t="n"/>
      <c r="O26" s="184" t="n"/>
      <c r="P26" s="184" t="n"/>
      <c r="Q26" s="184" t="n"/>
      <c r="R26" s="184" t="n"/>
      <c r="S26" s="185" t="n"/>
    </row>
    <row r="27">
      <c r="A27" s="3" t="inlineStr">
        <is>
          <t>Volante</t>
        </is>
      </c>
      <c r="B27" s="148" t="n"/>
      <c r="C27" s="205" t="n"/>
      <c r="D27" s="205" t="n"/>
      <c r="E27" s="205" t="n"/>
      <c r="F27" s="205" t="n"/>
      <c r="G27" s="205" t="n"/>
      <c r="H27" s="3" t="inlineStr">
        <is>
          <t>Pressão de entrada</t>
        </is>
      </c>
      <c r="I27" s="205" t="n"/>
      <c r="J27" s="205" t="n"/>
      <c r="K27" s="205" t="n"/>
      <c r="L27" s="205" t="n"/>
      <c r="M27" s="206" t="n"/>
      <c r="N27" s="233" t="n"/>
      <c r="O27" s="184" t="n"/>
      <c r="P27" s="184" t="n"/>
      <c r="Q27" s="184" t="n"/>
      <c r="R27" s="184" t="n"/>
      <c r="S27" s="185" t="n"/>
    </row>
    <row r="28">
      <c r="A28" s="3" t="inlineStr">
        <is>
          <t>Ação em caso de falha</t>
        </is>
      </c>
      <c r="B28" s="148" t="n"/>
      <c r="C28" s="205" t="n"/>
      <c r="D28" s="205" t="n"/>
      <c r="E28" s="205" t="n"/>
      <c r="F28" s="205" t="n"/>
      <c r="G28" s="205" t="n"/>
      <c r="H28" s="3" t="inlineStr">
        <is>
          <t>Pressão de saída</t>
        </is>
      </c>
      <c r="I28" s="205" t="n"/>
      <c r="J28" s="205" t="n"/>
      <c r="K28" s="205" t="n"/>
      <c r="L28" s="205" t="n"/>
      <c r="M28" s="206" t="n"/>
      <c r="N28" s="233" t="n"/>
      <c r="O28" s="184" t="n"/>
      <c r="P28" s="184" t="n"/>
      <c r="Q28" s="184" t="n"/>
      <c r="R28" s="184" t="n"/>
      <c r="S28" s="185" t="n"/>
    </row>
    <row r="29" ht="13.8" customHeight="1" thickBot="1">
      <c r="A29" s="16" t="inlineStr">
        <is>
          <t>Pressão suprimento de ar (min/max)</t>
        </is>
      </c>
      <c r="B29" s="150" t="n"/>
      <c r="C29" s="184" t="n"/>
      <c r="D29" s="184" t="n"/>
      <c r="E29" s="184" t="n"/>
      <c r="F29" s="184" t="n"/>
      <c r="G29" s="184" t="n"/>
      <c r="H29" s="3" t="inlineStr">
        <is>
          <t>Viscosidade</t>
        </is>
      </c>
      <c r="I29" s="205" t="n"/>
      <c r="J29" s="205" t="n"/>
      <c r="K29" s="205" t="n"/>
      <c r="L29" s="205" t="n"/>
      <c r="M29" s="206" t="n"/>
      <c r="N29" s="233" t="n"/>
      <c r="O29" s="184" t="n"/>
      <c r="P29" s="184" t="n"/>
      <c r="Q29" s="184" t="n"/>
      <c r="R29" s="184" t="n"/>
      <c r="S29" s="185" t="n"/>
    </row>
    <row r="30" ht="13.8" customHeight="1" thickBot="1">
      <c r="A30" s="142" t="inlineStr">
        <is>
          <t>POSICIONADOR</t>
        </is>
      </c>
      <c r="B30" s="221" t="n"/>
      <c r="C30" s="221" t="n"/>
      <c r="D30" s="221" t="n"/>
      <c r="E30" s="221" t="n"/>
      <c r="F30" s="221" t="n"/>
      <c r="G30" s="221" t="n"/>
      <c r="H30" s="3" t="inlineStr">
        <is>
          <t>Vazão normal</t>
        </is>
      </c>
      <c r="I30" s="205" t="n"/>
      <c r="J30" s="205" t="n"/>
      <c r="K30" s="205" t="n"/>
      <c r="L30" s="205" t="n"/>
      <c r="M30" s="206" t="n"/>
      <c r="N30" s="233" t="n"/>
      <c r="O30" s="184" t="n"/>
      <c r="P30" s="184" t="n"/>
      <c r="Q30" s="184" t="n"/>
      <c r="R30" s="184" t="n"/>
      <c r="S30" s="185" t="n"/>
    </row>
    <row r="31">
      <c r="A31" s="17" t="inlineStr">
        <is>
          <t>Tipo</t>
        </is>
      </c>
      <c r="B31" s="152" t="n"/>
      <c r="C31" s="181" t="n"/>
      <c r="D31" s="181" t="n"/>
      <c r="E31" s="181" t="n"/>
      <c r="F31" s="181" t="n"/>
      <c r="G31" s="181" t="n"/>
      <c r="H31" s="3" t="inlineStr">
        <is>
          <t>Vazão máxima</t>
        </is>
      </c>
      <c r="I31" s="205" t="n"/>
      <c r="J31" s="205" t="n"/>
      <c r="K31" s="205" t="n"/>
      <c r="L31" s="205" t="n"/>
      <c r="M31" s="206" t="n"/>
      <c r="N31" s="233" t="n"/>
      <c r="O31" s="184" t="n"/>
      <c r="P31" s="184" t="n"/>
      <c r="Q31" s="184" t="n"/>
      <c r="R31" s="184" t="n"/>
      <c r="S31" s="185" t="n"/>
    </row>
    <row r="32">
      <c r="A32" s="3" t="inlineStr">
        <is>
          <t>By-pass</t>
        </is>
      </c>
      <c r="B32" s="148" t="n"/>
      <c r="C32" s="205" t="n"/>
      <c r="D32" s="205" t="n"/>
      <c r="E32" s="205" t="n"/>
      <c r="F32" s="205" t="n"/>
      <c r="G32" s="205" t="n"/>
      <c r="H32" s="3" t="inlineStr">
        <is>
          <t>Vazão mínima</t>
        </is>
      </c>
      <c r="I32" s="205" t="n"/>
      <c r="J32" s="205" t="n"/>
      <c r="K32" s="205" t="n"/>
      <c r="L32" s="205" t="n"/>
      <c r="M32" s="206" t="n"/>
      <c r="N32" s="233" t="n"/>
      <c r="O32" s="184" t="n"/>
      <c r="P32" s="184" t="n"/>
      <c r="Q32" s="184" t="n"/>
      <c r="R32" s="184" t="n"/>
      <c r="S32" s="185" t="n"/>
    </row>
    <row r="33">
      <c r="A33" s="3" t="inlineStr">
        <is>
          <t>Manômetros quantidade</t>
        </is>
      </c>
      <c r="B33" s="148" t="n"/>
      <c r="C33" s="205" t="n"/>
      <c r="D33" s="205" t="n"/>
      <c r="E33" s="205" t="n"/>
      <c r="F33" s="205" t="n"/>
      <c r="G33" s="205" t="n"/>
      <c r="H33" s="3" t="inlineStr">
        <is>
          <t>Pressão shut off</t>
        </is>
      </c>
      <c r="I33" s="205" t="n"/>
      <c r="J33" s="205" t="n"/>
      <c r="K33" s="205" t="n"/>
      <c r="L33" s="205" t="n"/>
      <c r="M33" s="206" t="n"/>
      <c r="N33" s="233" t="n"/>
      <c r="O33" s="184" t="n"/>
      <c r="P33" s="184" t="n"/>
      <c r="Q33" s="184" t="n"/>
      <c r="R33" s="184" t="n"/>
      <c r="S33" s="185" t="n"/>
    </row>
    <row r="34">
      <c r="A34" s="3" t="inlineStr">
        <is>
          <t>Sinal de entrada</t>
        </is>
      </c>
      <c r="B34" s="148" t="n"/>
      <c r="C34" s="205" t="n"/>
      <c r="D34" s="205" t="n"/>
      <c r="E34" s="205" t="n"/>
      <c r="F34" s="205" t="n"/>
      <c r="G34" s="205" t="n"/>
      <c r="H34" s="3" t="inlineStr">
        <is>
          <t>Temperatura máxima</t>
        </is>
      </c>
      <c r="I34" s="205" t="n"/>
      <c r="J34" s="205" t="n"/>
      <c r="K34" s="205" t="n"/>
      <c r="L34" s="205" t="n"/>
      <c r="M34" s="206" t="n"/>
      <c r="N34" s="233" t="n"/>
      <c r="O34" s="184" t="n"/>
      <c r="P34" s="184" t="n"/>
      <c r="Q34" s="184" t="n"/>
      <c r="R34" s="184" t="n"/>
      <c r="S34" s="185" t="n"/>
    </row>
    <row r="35">
      <c r="A35" s="3" t="inlineStr">
        <is>
          <t>Sial de saída</t>
        </is>
      </c>
      <c r="B35" s="148" t="n"/>
      <c r="C35" s="205" t="n"/>
      <c r="D35" s="205" t="n"/>
      <c r="E35" s="205" t="n"/>
      <c r="F35" s="205" t="n"/>
      <c r="G35" s="205" t="n"/>
      <c r="H35" s="3" t="inlineStr">
        <is>
          <t>Temperatura normal</t>
        </is>
      </c>
      <c r="I35" s="205" t="n"/>
      <c r="J35" s="205" t="n"/>
      <c r="K35" s="205" t="n"/>
      <c r="L35" s="205" t="n"/>
      <c r="M35" s="206" t="n"/>
      <c r="N35" s="233" t="n"/>
      <c r="O35" s="184" t="n"/>
      <c r="P35" s="184" t="n"/>
      <c r="Q35" s="184" t="n"/>
      <c r="R35" s="184" t="n"/>
      <c r="S35" s="185" t="n"/>
    </row>
    <row r="36">
      <c r="A36" s="3" t="inlineStr">
        <is>
          <t>Característica do came</t>
        </is>
      </c>
      <c r="B36" s="148" t="n"/>
      <c r="C36" s="205" t="n"/>
      <c r="D36" s="205" t="n"/>
      <c r="E36" s="205" t="n"/>
      <c r="F36" s="205" t="n"/>
      <c r="G36" s="205" t="n"/>
      <c r="H36" s="3" t="inlineStr">
        <is>
          <t>Massa específica</t>
        </is>
      </c>
      <c r="I36" s="205" t="n"/>
      <c r="J36" s="205" t="n"/>
      <c r="K36" s="205" t="n"/>
      <c r="L36" s="205" t="n"/>
      <c r="M36" s="206" t="n"/>
      <c r="N36" s="233" t="n"/>
      <c r="O36" s="184" t="n"/>
      <c r="P36" s="184" t="n"/>
      <c r="Q36" s="184" t="n"/>
      <c r="R36" s="184" t="n"/>
      <c r="S36" s="185" t="n"/>
    </row>
    <row r="37" ht="13.8" customHeight="1" thickBot="1">
      <c r="A37" s="16" t="inlineStr">
        <is>
          <t>Alimentação de ar</t>
        </is>
      </c>
      <c r="B37" s="150" t="n"/>
      <c r="C37" s="184" t="n"/>
      <c r="D37" s="184" t="n"/>
      <c r="E37" s="184" t="n"/>
      <c r="F37" s="184" t="n"/>
      <c r="G37" s="184" t="n"/>
      <c r="H37" s="3" t="inlineStr">
        <is>
          <t>Cv calculado (máximo) / % abertura</t>
        </is>
      </c>
      <c r="I37" s="205" t="n"/>
      <c r="J37" s="205" t="n"/>
      <c r="K37" s="205" t="n"/>
      <c r="L37" s="205" t="n"/>
      <c r="M37" s="206" t="n"/>
      <c r="N37" s="224" t="n"/>
      <c r="O37" s="184" t="n"/>
      <c r="P37" s="184" t="n"/>
      <c r="Q37" s="184" t="n"/>
      <c r="R37" s="184" t="n"/>
      <c r="S37" s="185" t="n"/>
    </row>
    <row r="38" ht="13.8" customHeight="1" thickBot="1">
      <c r="A38" s="142" t="inlineStr">
        <is>
          <t>ACESSÓRIOS</t>
        </is>
      </c>
      <c r="B38" s="221" t="n"/>
      <c r="C38" s="221" t="n"/>
      <c r="D38" s="221" t="n"/>
      <c r="E38" s="221" t="n"/>
      <c r="F38" s="221" t="n"/>
      <c r="G38" s="221" t="n"/>
      <c r="H38" s="3" t="inlineStr">
        <is>
          <t>Cv calculado (normal) / % abertura</t>
        </is>
      </c>
      <c r="I38" s="205" t="n"/>
      <c r="J38" s="205" t="n"/>
      <c r="K38" s="205" t="n"/>
      <c r="L38" s="205" t="n"/>
      <c r="M38" s="206" t="n"/>
      <c r="N38" s="224" t="n"/>
      <c r="O38" s="184" t="n"/>
      <c r="P38" s="184" t="n"/>
      <c r="Q38" s="184" t="n"/>
      <c r="R38" s="184" t="n"/>
      <c r="S38" s="185" t="n"/>
    </row>
    <row r="39">
      <c r="A39" s="17" t="inlineStr">
        <is>
          <t>Filtro / Filtro regulador</t>
        </is>
      </c>
      <c r="B39" s="152" t="n"/>
      <c r="C39" s="181" t="n"/>
      <c r="D39" s="181" t="n"/>
      <c r="E39" s="181" t="n"/>
      <c r="F39" s="181" t="n"/>
      <c r="G39" s="181" t="n"/>
      <c r="H39" s="3" t="inlineStr">
        <is>
          <t>Cv calculado (mínimo) / % abertura</t>
        </is>
      </c>
      <c r="I39" s="205" t="n"/>
      <c r="J39" s="205" t="n"/>
      <c r="K39" s="205" t="n"/>
      <c r="L39" s="205" t="n"/>
      <c r="M39" s="206" t="n"/>
      <c r="N39" s="224" t="n"/>
      <c r="O39" s="184" t="n"/>
      <c r="P39" s="184" t="n"/>
      <c r="Q39" s="184" t="n"/>
      <c r="R39" s="184" t="n"/>
      <c r="S39" s="185" t="n"/>
    </row>
    <row r="40">
      <c r="A40" s="3" t="inlineStr">
        <is>
          <t>Manômetro para o regulador</t>
        </is>
      </c>
      <c r="B40" s="148" t="n"/>
      <c r="C40" s="205" t="n"/>
      <c r="D40" s="205" t="n"/>
      <c r="E40" s="205" t="n"/>
      <c r="F40" s="205" t="n"/>
      <c r="G40" s="205" t="n"/>
      <c r="H40" s="3" t="inlineStr">
        <is>
          <t>Cv selecionado</t>
        </is>
      </c>
      <c r="I40" s="205" t="n"/>
      <c r="J40" s="205" t="n"/>
      <c r="K40" s="205" t="n"/>
      <c r="L40" s="205" t="n"/>
      <c r="M40" s="206" t="n"/>
      <c r="N40" s="224" t="n"/>
      <c r="O40" s="184" t="n"/>
      <c r="P40" s="184" t="n"/>
      <c r="Q40" s="184" t="n"/>
      <c r="R40" s="184" t="n"/>
      <c r="S40" s="185" t="n"/>
    </row>
    <row r="41" ht="13.8" customHeight="1" thickBot="1">
      <c r="A41" s="6" t="inlineStr">
        <is>
          <t>Posição do volante</t>
        </is>
      </c>
      <c r="B41" s="154" t="n"/>
      <c r="C41" s="208" t="n"/>
      <c r="D41" s="208" t="n"/>
      <c r="E41" s="208" t="n"/>
      <c r="F41" s="208" t="n"/>
      <c r="G41" s="208" t="n"/>
      <c r="H41" s="6" t="inlineStr">
        <is>
          <t>Nível de ruído</t>
        </is>
      </c>
      <c r="I41" s="208" t="n"/>
      <c r="J41" s="208" t="n"/>
      <c r="K41" s="208" t="n"/>
      <c r="L41" s="208" t="n"/>
      <c r="M41" s="209" t="n"/>
      <c r="N41" s="225" t="n"/>
      <c r="O41" s="208" t="n"/>
      <c r="P41" s="208" t="n"/>
      <c r="Q41" s="208" t="n"/>
      <c r="R41" s="208" t="n"/>
      <c r="S41" s="226" t="n"/>
    </row>
    <row r="42">
      <c r="A42" s="234" t="inlineStr">
        <is>
          <t>Notas:</t>
        </is>
      </c>
      <c r="B42" s="173" t="n"/>
      <c r="C42" s="173" t="n"/>
      <c r="D42" s="173" t="n"/>
      <c r="E42" s="173" t="n"/>
      <c r="F42" s="173" t="n"/>
      <c r="G42" s="173" t="n"/>
      <c r="H42" s="173" t="n"/>
      <c r="I42" s="173" t="n"/>
      <c r="J42" s="173" t="n"/>
      <c r="K42" s="173" t="n"/>
      <c r="L42" s="173" t="n"/>
      <c r="M42" s="173" t="n"/>
      <c r="N42" s="173" t="n"/>
      <c r="O42" s="173" t="n"/>
      <c r="P42" s="173" t="n"/>
      <c r="Q42" s="173" t="n"/>
      <c r="R42" s="173" t="n"/>
      <c r="S42" s="177" t="n"/>
    </row>
    <row r="43" ht="13.8" customHeight="1" thickBot="1">
      <c r="A43" s="235" t="n"/>
      <c r="B43" s="197" t="n"/>
      <c r="C43" s="197" t="n"/>
      <c r="D43" s="197" t="n"/>
      <c r="E43" s="197" t="n"/>
      <c r="F43" s="197" t="n"/>
      <c r="G43" s="197" t="n"/>
      <c r="H43" s="197" t="n"/>
      <c r="I43" s="197" t="n"/>
      <c r="J43" s="197" t="n"/>
      <c r="K43" s="197" t="n"/>
      <c r="L43" s="197" t="n"/>
      <c r="M43" s="197" t="n"/>
      <c r="N43" s="197" t="n"/>
      <c r="O43" s="197" t="n"/>
      <c r="P43" s="197" t="n"/>
      <c r="Q43" s="197" t="n"/>
      <c r="R43" s="197" t="n"/>
      <c r="S43" s="199" t="n"/>
    </row>
    <row r="44">
      <c r="A44" s="7" t="n"/>
    </row>
    <row r="45">
      <c r="A45" s="2" t="n"/>
    </row>
    <row r="46">
      <c r="A46" s="2" t="n"/>
    </row>
    <row r="47">
      <c r="A47" s="2" t="n"/>
    </row>
    <row r="48">
      <c r="A48" s="2" t="n"/>
    </row>
    <row r="49">
      <c r="A49" s="2" t="n"/>
    </row>
    <row r="50">
      <c r="A50" s="2" t="n"/>
    </row>
    <row r="51">
      <c r="A51" s="2" t="n"/>
    </row>
    <row r="52">
      <c r="A52" s="2" t="n"/>
    </row>
    <row r="53">
      <c r="A53" s="2" t="n"/>
    </row>
    <row r="54">
      <c r="A54" s="2" t="n"/>
    </row>
  </sheetData>
  <mergeCells count="116">
    <mergeCell ref="H21:M21"/>
    <mergeCell ref="N23:S23"/>
    <mergeCell ref="B8:G8"/>
    <mergeCell ref="N18:S18"/>
    <mergeCell ref="A1:A4"/>
    <mergeCell ref="N8:S8"/>
    <mergeCell ref="H7:M7"/>
    <mergeCell ref="B10:G10"/>
    <mergeCell ref="N10:S10"/>
    <mergeCell ref="A30:G30"/>
    <mergeCell ref="H27:M27"/>
    <mergeCell ref="N34:S34"/>
    <mergeCell ref="H33:M33"/>
    <mergeCell ref="B36:G36"/>
    <mergeCell ref="N27:S27"/>
    <mergeCell ref="H5:S5"/>
    <mergeCell ref="N36:S36"/>
    <mergeCell ref="H35:M35"/>
    <mergeCell ref="N11:S11"/>
    <mergeCell ref="N20:S20"/>
    <mergeCell ref="B22:G22"/>
    <mergeCell ref="B31:G31"/>
    <mergeCell ref="N22:S22"/>
    <mergeCell ref="H9:M9"/>
    <mergeCell ref="B12:G12"/>
    <mergeCell ref="H39:M39"/>
    <mergeCell ref="B21:G21"/>
    <mergeCell ref="B39:G39"/>
    <mergeCell ref="N12:S12"/>
    <mergeCell ref="N21:S21"/>
    <mergeCell ref="B14:G14"/>
    <mergeCell ref="B23:G23"/>
    <mergeCell ref="N14:S14"/>
    <mergeCell ref="B13:G13"/>
    <mergeCell ref="A43:S43"/>
    <mergeCell ref="N38:S38"/>
    <mergeCell ref="H16:S16"/>
    <mergeCell ref="H32:M32"/>
    <mergeCell ref="H13:M13"/>
    <mergeCell ref="N40:S40"/>
    <mergeCell ref="B33:G33"/>
    <mergeCell ref="H15:M15"/>
    <mergeCell ref="H18:M18"/>
    <mergeCell ref="B41:G41"/>
    <mergeCell ref="B35:G35"/>
    <mergeCell ref="C2:S2"/>
    <mergeCell ref="H8:M8"/>
    <mergeCell ref="N26:S26"/>
    <mergeCell ref="N35:S35"/>
    <mergeCell ref="H26:M26"/>
    <mergeCell ref="B25:G25"/>
    <mergeCell ref="N25:S25"/>
    <mergeCell ref="H10:M10"/>
    <mergeCell ref="H41:M41"/>
    <mergeCell ref="B27:G27"/>
    <mergeCell ref="H34:M34"/>
    <mergeCell ref="H25:M25"/>
    <mergeCell ref="A5:G5"/>
    <mergeCell ref="B11:G11"/>
    <mergeCell ref="A42:S42"/>
    <mergeCell ref="H36:M36"/>
    <mergeCell ref="A38:G38"/>
    <mergeCell ref="H17:M17"/>
    <mergeCell ref="H11:M11"/>
    <mergeCell ref="N39:S39"/>
    <mergeCell ref="B29:G29"/>
    <mergeCell ref="N29:S29"/>
    <mergeCell ref="H19:M19"/>
    <mergeCell ref="H28:M28"/>
    <mergeCell ref="H37:M37"/>
    <mergeCell ref="A24:G24"/>
    <mergeCell ref="N13:S13"/>
    <mergeCell ref="B40:G40"/>
    <mergeCell ref="H12:M12"/>
    <mergeCell ref="N31:S31"/>
    <mergeCell ref="B15:G15"/>
    <mergeCell ref="J1:S1"/>
    <mergeCell ref="N6:S6"/>
    <mergeCell ref="N15:S15"/>
    <mergeCell ref="H24:S24"/>
    <mergeCell ref="H14:M14"/>
    <mergeCell ref="B32:G32"/>
    <mergeCell ref="H23:M23"/>
    <mergeCell ref="A16:G16"/>
    <mergeCell ref="B26:G26"/>
    <mergeCell ref="Y16:Y23"/>
    <mergeCell ref="B7:G7"/>
    <mergeCell ref="H38:M38"/>
    <mergeCell ref="N32:S32"/>
    <mergeCell ref="N7:S7"/>
    <mergeCell ref="N41:S41"/>
    <mergeCell ref="H40:M40"/>
    <mergeCell ref="B18:G18"/>
    <mergeCell ref="N33:S33"/>
    <mergeCell ref="B17:G17"/>
    <mergeCell ref="N17:S17"/>
    <mergeCell ref="B19:G19"/>
    <mergeCell ref="B34:G34"/>
    <mergeCell ref="B28:G28"/>
    <mergeCell ref="B37:G37"/>
    <mergeCell ref="N19:S19"/>
    <mergeCell ref="H22:M22"/>
    <mergeCell ref="B9:G9"/>
    <mergeCell ref="N28:S28"/>
    <mergeCell ref="N9:S9"/>
    <mergeCell ref="B6:G6"/>
    <mergeCell ref="B20:G20"/>
    <mergeCell ref="N30:S30"/>
    <mergeCell ref="B3:S4"/>
    <mergeCell ref="H30:M30"/>
    <mergeCell ref="H20:M20"/>
    <mergeCell ref="H29:M29"/>
    <mergeCell ref="B1:H1"/>
    <mergeCell ref="N37:S37"/>
    <mergeCell ref="H31:M31"/>
    <mergeCell ref="H6:M6"/>
  </mergeCells>
  <pageMargins left="0.25" right="0.25" top="0.75" bottom="0.75" header="0.3" footer="0.3"/>
  <pageSetup orientation="portrait" paperSize="9" scale="82"/>
  <headerFooter alignWithMargins="0">
    <oddHeader>&amp;RAquisição de válvulas ON-OFF</oddHeader>
    <oddFooter>&amp;RPágina &amp;P de &amp;N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Planilha2">
    <outlinePr summaryBelow="1" summaryRight="1"/>
    <pageSetUpPr fitToPage="1"/>
  </sheetPr>
  <dimension ref="A1:Z54"/>
  <sheetViews>
    <sheetView workbookViewId="0">
      <selection activeCell="A1" sqref="A1"/>
    </sheetView>
  </sheetViews>
  <sheetFormatPr baseColWidth="8" defaultRowHeight="13.2"/>
  <cols>
    <col width="35.109375" bestFit="1" customWidth="1" style="137" min="1" max="1"/>
    <col width="4.88671875" customWidth="1" style="137" min="2" max="19"/>
  </cols>
  <sheetData>
    <row r="1" ht="14.25" customHeight="1">
      <c r="A1" s="210">
        <f>_xlfn.IMAGE("https://technikgrupo.sharepoint.com/sites/transfer/Logos/Technik.png")</f>
        <v/>
      </c>
      <c r="B1" s="211" t="inlineStr">
        <is>
          <t>FOLHA DE DADOS</t>
        </is>
      </c>
      <c r="C1" s="212" t="n"/>
      <c r="D1" s="212" t="n"/>
      <c r="E1" s="212" t="n"/>
      <c r="F1" s="212" t="n"/>
      <c r="G1" s="212" t="n"/>
      <c r="H1" s="213" t="n"/>
      <c r="I1" s="19" t="inlineStr">
        <is>
          <t>Nº.:</t>
        </is>
      </c>
      <c r="J1" s="166">
        <f>"FD-"&amp;Config!D2&amp;"-"&amp;Config!F2&amp;"-001"</f>
        <v/>
      </c>
      <c r="K1" s="212" t="n"/>
      <c r="L1" s="212" t="n"/>
      <c r="M1" s="212" t="n"/>
      <c r="N1" s="212" t="n"/>
      <c r="O1" s="212" t="n"/>
      <c r="P1" s="212" t="n"/>
      <c r="Q1" s="212" t="n"/>
      <c r="R1" s="212" t="n"/>
      <c r="S1" s="214" t="n"/>
    </row>
    <row r="2" ht="14.25" customHeight="1">
      <c r="A2" s="215" t="n"/>
      <c r="B2" s="20" t="inlineStr">
        <is>
          <t>ÁREA:</t>
        </is>
      </c>
      <c r="C2" s="164" t="inlineStr">
        <is>
          <t>PÁTIO D3</t>
        </is>
      </c>
      <c r="D2" s="205" t="n"/>
      <c r="E2" s="205" t="n"/>
      <c r="F2" s="205" t="n"/>
      <c r="G2" s="205" t="n"/>
      <c r="H2" s="205" t="n"/>
      <c r="I2" s="205" t="n"/>
      <c r="J2" s="205" t="n"/>
      <c r="K2" s="205" t="n"/>
      <c r="L2" s="205" t="n"/>
      <c r="M2" s="205" t="n"/>
      <c r="N2" s="205" t="n"/>
      <c r="O2" s="205" t="n"/>
      <c r="P2" s="205" t="n"/>
      <c r="Q2" s="205" t="n"/>
      <c r="R2" s="205" t="n"/>
      <c r="S2" s="216" t="n"/>
    </row>
    <row r="3" ht="14.25" customHeight="1">
      <c r="A3" s="215" t="n"/>
      <c r="B3" s="217" t="inlineStr">
        <is>
          <t>VÁLVULA ON OFF</t>
        </is>
      </c>
      <c r="C3" s="184" t="n"/>
      <c r="D3" s="184" t="n"/>
      <c r="E3" s="184" t="n"/>
      <c r="F3" s="184" t="n"/>
      <c r="G3" s="184" t="n"/>
      <c r="H3" s="184" t="n"/>
      <c r="I3" s="184" t="n"/>
      <c r="J3" s="184" t="n"/>
      <c r="K3" s="184" t="n"/>
      <c r="L3" s="184" t="n"/>
      <c r="M3" s="184" t="n"/>
      <c r="N3" s="184" t="n"/>
      <c r="O3" s="184" t="n"/>
      <c r="P3" s="184" t="n"/>
      <c r="Q3" s="184" t="n"/>
      <c r="R3" s="184" t="n"/>
      <c r="S3" s="185" t="n"/>
    </row>
    <row r="4" ht="14.25" customHeight="1" thickBot="1">
      <c r="A4" s="218" t="n"/>
      <c r="B4" s="219" t="n"/>
      <c r="C4" s="197" t="n"/>
      <c r="D4" s="197" t="n"/>
      <c r="E4" s="197" t="n"/>
      <c r="F4" s="197" t="n"/>
      <c r="G4" s="197" t="n"/>
      <c r="H4" s="197" t="n"/>
      <c r="I4" s="197" t="n"/>
      <c r="J4" s="197" t="n"/>
      <c r="K4" s="197" t="n"/>
      <c r="L4" s="197" t="n"/>
      <c r="M4" s="197" t="n"/>
      <c r="N4" s="197" t="n"/>
      <c r="O4" s="197" t="n"/>
      <c r="P4" s="197" t="n"/>
      <c r="Q4" s="197" t="n"/>
      <c r="R4" s="197" t="n"/>
      <c r="S4" s="199" t="n"/>
    </row>
    <row r="5" ht="13.8" customHeight="1" thickBot="1">
      <c r="A5" s="220" t="inlineStr">
        <is>
          <t>GERAL</t>
        </is>
      </c>
      <c r="B5" s="221" t="n"/>
      <c r="C5" s="221" t="n"/>
      <c r="D5" s="221" t="n"/>
      <c r="E5" s="221" t="n"/>
      <c r="F5" s="221" t="n"/>
      <c r="G5" s="222" t="n"/>
      <c r="H5" s="220" t="inlineStr">
        <is>
          <t>VÁLVULA SOLENÓIDE</t>
        </is>
      </c>
      <c r="I5" s="221" t="n"/>
      <c r="J5" s="221" t="n"/>
      <c r="K5" s="221" t="n"/>
      <c r="L5" s="221" t="n"/>
      <c r="M5" s="221" t="n"/>
      <c r="N5" s="221" t="n"/>
      <c r="O5" s="221" t="n"/>
      <c r="P5" s="221" t="n"/>
      <c r="Q5" s="221" t="n"/>
      <c r="R5" s="221" t="n"/>
      <c r="S5" s="222" t="n"/>
    </row>
    <row r="6">
      <c r="A6" s="17" t="inlineStr">
        <is>
          <t>TAG / Quantidade</t>
        </is>
      </c>
      <c r="B6" s="167" t="inlineStr">
        <is>
          <t>XV-1701.9</t>
        </is>
      </c>
      <c r="C6" s="181" t="n"/>
      <c r="D6" s="181" t="n"/>
      <c r="E6" s="181" t="n"/>
      <c r="F6" s="181" t="n"/>
      <c r="G6" s="181" t="n"/>
      <c r="H6" s="18" t="inlineStr">
        <is>
          <t>TAG</t>
        </is>
      </c>
      <c r="I6" s="212" t="n"/>
      <c r="J6" s="212" t="n"/>
      <c r="K6" s="212" t="n"/>
      <c r="L6" s="212" t="n"/>
      <c r="M6" s="213" t="n"/>
      <c r="N6" s="223" t="n"/>
      <c r="O6" s="173" t="n"/>
      <c r="P6" s="173" t="n"/>
      <c r="Q6" s="173" t="n"/>
      <c r="R6" s="173" t="n"/>
      <c r="S6" s="177" t="n"/>
    </row>
    <row r="7">
      <c r="A7" s="3" t="inlineStr">
        <is>
          <t>Função</t>
        </is>
      </c>
      <c r="B7" s="158" t="n"/>
      <c r="C7" s="205" t="n"/>
      <c r="D7" s="205" t="n"/>
      <c r="E7" s="205" t="n"/>
      <c r="F7" s="205" t="n"/>
      <c r="G7" s="205" t="n"/>
      <c r="H7" s="3" t="inlineStr">
        <is>
          <t>Tipo</t>
        </is>
      </c>
      <c r="I7" s="205" t="n"/>
      <c r="J7" s="205" t="n"/>
      <c r="K7" s="205" t="n"/>
      <c r="L7" s="205" t="n"/>
      <c r="M7" s="206" t="n"/>
      <c r="N7" s="224" t="n"/>
      <c r="O7" s="184" t="n"/>
      <c r="P7" s="184" t="n"/>
      <c r="Q7" s="184" t="n"/>
      <c r="R7" s="184" t="n"/>
      <c r="S7" s="185" t="n"/>
    </row>
    <row r="8">
      <c r="A8" s="4" t="inlineStr">
        <is>
          <t>Fluxograma</t>
        </is>
      </c>
      <c r="B8" s="158" t="inlineStr">
        <is>
          <t>PHS2-PR27-1701-FL.01 Rev. 74I</t>
        </is>
      </c>
      <c r="C8" s="205" t="n"/>
      <c r="D8" s="205" t="n"/>
      <c r="E8" s="205" t="n"/>
      <c r="F8" s="205" t="n"/>
      <c r="G8" s="205" t="n"/>
      <c r="H8" s="3" t="inlineStr">
        <is>
          <t>Número de vias/posições</t>
        </is>
      </c>
      <c r="I8" s="205" t="n"/>
      <c r="J8" s="205" t="n"/>
      <c r="K8" s="205" t="n"/>
      <c r="L8" s="205" t="n"/>
      <c r="M8" s="206" t="n"/>
      <c r="N8" s="224" t="n"/>
      <c r="O8" s="184" t="n"/>
      <c r="P8" s="184" t="n"/>
      <c r="Q8" s="184" t="n"/>
      <c r="R8" s="184" t="n"/>
      <c r="S8" s="185" t="n"/>
    </row>
    <row r="9">
      <c r="A9" s="3" t="inlineStr">
        <is>
          <t>Bitola da linha</t>
        </is>
      </c>
      <c r="B9" s="158" t="n"/>
      <c r="C9" s="205" t="n"/>
      <c r="D9" s="205" t="n"/>
      <c r="E9" s="205" t="n"/>
      <c r="F9" s="205" t="n"/>
      <c r="G9" s="205" t="n"/>
      <c r="H9" s="3" t="inlineStr">
        <is>
          <t>Material do corpo</t>
        </is>
      </c>
      <c r="I9" s="205" t="n"/>
      <c r="J9" s="205" t="n"/>
      <c r="K9" s="205" t="n"/>
      <c r="L9" s="205" t="n"/>
      <c r="M9" s="206" t="n"/>
      <c r="N9" s="224" t="n"/>
      <c r="O9" s="184" t="n"/>
      <c r="P9" s="184" t="n"/>
      <c r="Q9" s="184" t="n"/>
      <c r="R9" s="184" t="n"/>
      <c r="S9" s="185" t="n"/>
    </row>
    <row r="10">
      <c r="A10" s="3" t="inlineStr">
        <is>
          <t>Tipo do corpo</t>
        </is>
      </c>
      <c r="B10" s="158" t="inlineStr">
        <is>
          <t>ESFERA AUTOMÁTICA</t>
        </is>
      </c>
      <c r="C10" s="205" t="n"/>
      <c r="D10" s="205" t="n"/>
      <c r="E10" s="205" t="n"/>
      <c r="F10" s="205" t="n"/>
      <c r="G10" s="205" t="n"/>
      <c r="H10" s="3" t="inlineStr">
        <is>
          <t>Classe da bobina</t>
        </is>
      </c>
      <c r="I10" s="205" t="n"/>
      <c r="J10" s="205" t="n"/>
      <c r="K10" s="205" t="n"/>
      <c r="L10" s="205" t="n"/>
      <c r="M10" s="206" t="n"/>
      <c r="N10" s="224" t="n"/>
      <c r="O10" s="184" t="n"/>
      <c r="P10" s="184" t="n"/>
      <c r="Q10" s="184" t="n"/>
      <c r="R10" s="184" t="n"/>
      <c r="S10" s="185" t="n"/>
    </row>
    <row r="11">
      <c r="A11" s="3" t="inlineStr">
        <is>
          <t>Material do corpo</t>
        </is>
      </c>
      <c r="B11" s="158" t="n"/>
      <c r="C11" s="205" t="n"/>
      <c r="D11" s="205" t="n"/>
      <c r="E11" s="205" t="n"/>
      <c r="F11" s="205" t="n"/>
      <c r="G11" s="205" t="n"/>
      <c r="H11" s="3" t="inlineStr">
        <is>
          <t>Número de bobinas</t>
        </is>
      </c>
      <c r="I11" s="205" t="n"/>
      <c r="J11" s="205" t="n"/>
      <c r="K11" s="205" t="n"/>
      <c r="L11" s="205" t="n"/>
      <c r="M11" s="206" t="n"/>
      <c r="N11" s="224" t="n"/>
      <c r="O11" s="184" t="n"/>
      <c r="P11" s="184" t="n"/>
      <c r="Q11" s="184" t="n"/>
      <c r="R11" s="184" t="n"/>
      <c r="S11" s="185" t="n"/>
    </row>
    <row r="12">
      <c r="A12" s="3" t="inlineStr">
        <is>
          <t>Diâmetro da válvula</t>
        </is>
      </c>
      <c r="B12" s="158" t="inlineStr">
        <is>
          <t>-</t>
        </is>
      </c>
      <c r="C12" s="205" t="n"/>
      <c r="D12" s="205" t="n"/>
      <c r="E12" s="205" t="n"/>
      <c r="F12" s="205" t="n"/>
      <c r="G12" s="205" t="n"/>
      <c r="H12" s="3" t="inlineStr">
        <is>
          <t>Conexão elétrica</t>
        </is>
      </c>
      <c r="I12" s="205" t="n"/>
      <c r="J12" s="205" t="n"/>
      <c r="K12" s="205" t="n"/>
      <c r="L12" s="205" t="n"/>
      <c r="M12" s="206" t="n"/>
      <c r="N12" s="224" t="n"/>
      <c r="O12" s="184" t="n"/>
      <c r="P12" s="184" t="n"/>
      <c r="Q12" s="184" t="n"/>
      <c r="R12" s="184" t="n"/>
      <c r="S12" s="185" t="n"/>
    </row>
    <row r="13">
      <c r="A13" s="3" t="inlineStr">
        <is>
          <t>Conexões e faceamento</t>
        </is>
      </c>
      <c r="B13" s="148" t="n"/>
      <c r="C13" s="205" t="n"/>
      <c r="D13" s="205" t="n"/>
      <c r="E13" s="205" t="n"/>
      <c r="F13" s="205" t="n"/>
      <c r="G13" s="205" t="n"/>
      <c r="H13" s="3" t="inlineStr">
        <is>
          <t>Conexão pneumática</t>
        </is>
      </c>
      <c r="I13" s="205" t="n"/>
      <c r="J13" s="205" t="n"/>
      <c r="K13" s="205" t="n"/>
      <c r="L13" s="205" t="n"/>
      <c r="M13" s="206" t="n"/>
      <c r="N13" s="224" t="n"/>
      <c r="O13" s="184" t="n"/>
      <c r="P13" s="184" t="n"/>
      <c r="Q13" s="184" t="n"/>
      <c r="R13" s="184" t="n"/>
      <c r="S13" s="185" t="n"/>
    </row>
    <row r="14">
      <c r="A14" s="3" t="inlineStr">
        <is>
          <t>Castelo</t>
        </is>
      </c>
      <c r="B14" s="148" t="n"/>
      <c r="C14" s="205" t="n"/>
      <c r="D14" s="205" t="n"/>
      <c r="E14" s="205" t="n"/>
      <c r="F14" s="205" t="n"/>
      <c r="G14" s="205" t="n"/>
      <c r="H14" s="3" t="inlineStr">
        <is>
          <t>Classificação da área</t>
        </is>
      </c>
      <c r="I14" s="205" t="n"/>
      <c r="J14" s="205" t="n"/>
      <c r="K14" s="205" t="n"/>
      <c r="L14" s="205" t="n"/>
      <c r="M14" s="206" t="n"/>
      <c r="N14" s="224" t="n"/>
      <c r="O14" s="184" t="n"/>
      <c r="P14" s="184" t="n"/>
      <c r="Q14" s="184" t="n"/>
      <c r="R14" s="184" t="n"/>
      <c r="S14" s="185" t="n"/>
    </row>
    <row r="15" ht="13.8" customHeight="1" thickBot="1">
      <c r="A15" s="16" t="inlineStr">
        <is>
          <t>Classe de vedação</t>
        </is>
      </c>
      <c r="B15" s="150" t="n"/>
      <c r="C15" s="184" t="n"/>
      <c r="D15" s="184" t="n"/>
      <c r="E15" s="184" t="n"/>
      <c r="F15" s="184" t="n"/>
      <c r="G15" s="184" t="n"/>
      <c r="H15" s="6" t="inlineStr">
        <is>
          <t>Classificação do invólucro</t>
        </is>
      </c>
      <c r="I15" s="208" t="n"/>
      <c r="J15" s="208" t="n"/>
      <c r="K15" s="208" t="n"/>
      <c r="L15" s="208" t="n"/>
      <c r="M15" s="209" t="n"/>
      <c r="N15" s="225" t="n"/>
      <c r="O15" s="208" t="n"/>
      <c r="P15" s="208" t="n"/>
      <c r="Q15" s="208" t="n"/>
      <c r="R15" s="208" t="n"/>
      <c r="S15" s="226" t="n"/>
    </row>
    <row r="16" ht="13.8" customHeight="1" thickBot="1">
      <c r="A16" s="220" t="inlineStr">
        <is>
          <t>INTERNOS</t>
        </is>
      </c>
      <c r="B16" s="221" t="n"/>
      <c r="C16" s="221" t="n"/>
      <c r="D16" s="221" t="n"/>
      <c r="E16" s="221" t="n"/>
      <c r="F16" s="221" t="n"/>
      <c r="G16" s="222" t="n"/>
      <c r="H16" s="220" t="inlineStr">
        <is>
          <t>FINS DE CURSO</t>
        </is>
      </c>
      <c r="I16" s="221" t="n"/>
      <c r="J16" s="221" t="n"/>
      <c r="K16" s="221" t="n"/>
      <c r="L16" s="221" t="n"/>
      <c r="M16" s="221" t="n"/>
      <c r="N16" s="221" t="n"/>
      <c r="O16" s="221" t="n"/>
      <c r="P16" s="221" t="n"/>
      <c r="Q16" s="221" t="n"/>
      <c r="R16" s="221" t="n"/>
      <c r="S16" s="222" t="n"/>
      <c r="X16" s="69" t="n"/>
      <c r="Y16" s="69" t="n"/>
      <c r="Z16" s="69" t="n"/>
    </row>
    <row r="17">
      <c r="A17" s="18" t="inlineStr">
        <is>
          <t>Material das gaxetas</t>
        </is>
      </c>
      <c r="B17" s="227" t="n"/>
      <c r="C17" s="212" t="n"/>
      <c r="D17" s="212" t="n"/>
      <c r="E17" s="212" t="n"/>
      <c r="F17" s="212" t="n"/>
      <c r="G17" s="214" t="n"/>
      <c r="H17" s="146" t="inlineStr">
        <is>
          <t>TAG</t>
        </is>
      </c>
      <c r="I17" s="181" t="n"/>
      <c r="J17" s="181" t="n"/>
      <c r="K17" s="181" t="n"/>
      <c r="L17" s="181" t="n"/>
      <c r="M17" s="202" t="n"/>
      <c r="N17" s="228" t="n"/>
      <c r="S17" s="192" t="n"/>
      <c r="X17" s="69" t="n"/>
      <c r="Z17" s="69" t="n"/>
    </row>
    <row r="18">
      <c r="A18" s="3" t="inlineStr">
        <is>
          <t>Sede</t>
        </is>
      </c>
      <c r="B18" s="229" t="n"/>
      <c r="C18" s="205" t="n"/>
      <c r="D18" s="205" t="n"/>
      <c r="E18" s="205" t="n"/>
      <c r="F18" s="205" t="n"/>
      <c r="G18" s="216" t="n"/>
      <c r="H18" s="130" t="inlineStr">
        <is>
          <t>Tipo</t>
        </is>
      </c>
      <c r="I18" s="205" t="n"/>
      <c r="J18" s="205" t="n"/>
      <c r="K18" s="205" t="n"/>
      <c r="L18" s="205" t="n"/>
      <c r="M18" s="206" t="n"/>
      <c r="N18" s="224" t="n"/>
      <c r="O18" s="184" t="n"/>
      <c r="P18" s="184" t="n"/>
      <c r="Q18" s="184" t="n"/>
      <c r="R18" s="184" t="n"/>
      <c r="S18" s="185" t="n"/>
      <c r="X18" s="69" t="n"/>
      <c r="Z18" s="69" t="n"/>
    </row>
    <row r="19">
      <c r="A19" s="5" t="inlineStr">
        <is>
          <t>Material do disco</t>
        </is>
      </c>
      <c r="B19" s="229" t="n"/>
      <c r="C19" s="205" t="n"/>
      <c r="D19" s="205" t="n"/>
      <c r="E19" s="205" t="n"/>
      <c r="F19" s="205" t="n"/>
      <c r="G19" s="216" t="n"/>
      <c r="H19" s="130" t="inlineStr">
        <is>
          <t>Quantidade</t>
        </is>
      </c>
      <c r="I19" s="205" t="n"/>
      <c r="J19" s="205" t="n"/>
      <c r="K19" s="205" t="n"/>
      <c r="L19" s="205" t="n"/>
      <c r="M19" s="206" t="n"/>
      <c r="N19" s="224" t="n"/>
      <c r="O19" s="184" t="n"/>
      <c r="P19" s="184" t="n"/>
      <c r="Q19" s="184" t="n"/>
      <c r="R19" s="184" t="n"/>
      <c r="S19" s="185" t="n"/>
      <c r="X19" s="69" t="n"/>
      <c r="Z19" s="69" t="n"/>
    </row>
    <row r="20">
      <c r="A20" s="5" t="inlineStr">
        <is>
          <t>Material da haste</t>
        </is>
      </c>
      <c r="B20" s="229" t="n"/>
      <c r="C20" s="205" t="n"/>
      <c r="D20" s="205" t="n"/>
      <c r="E20" s="205" t="n"/>
      <c r="F20" s="205" t="n"/>
      <c r="G20" s="216" t="n"/>
      <c r="H20" s="130" t="inlineStr">
        <is>
          <t>Tipo dos contatos</t>
        </is>
      </c>
      <c r="I20" s="205" t="n"/>
      <c r="J20" s="205" t="n"/>
      <c r="K20" s="205" t="n"/>
      <c r="L20" s="205" t="n"/>
      <c r="M20" s="206" t="n"/>
      <c r="N20" s="224" t="n"/>
      <c r="O20" s="184" t="n"/>
      <c r="P20" s="184" t="n"/>
      <c r="Q20" s="184" t="n"/>
      <c r="R20" s="184" t="n"/>
      <c r="S20" s="185" t="n"/>
      <c r="X20" s="69" t="n"/>
      <c r="Z20" s="69" t="n"/>
    </row>
    <row r="21">
      <c r="A21" s="3" t="inlineStr">
        <is>
          <t>Obturador balanceado</t>
        </is>
      </c>
      <c r="B21" s="229" t="n"/>
      <c r="C21" s="205" t="n"/>
      <c r="D21" s="205" t="n"/>
      <c r="E21" s="205" t="n"/>
      <c r="F21" s="205" t="n"/>
      <c r="G21" s="216" t="n"/>
      <c r="H21" s="130" t="inlineStr">
        <is>
          <t>Conexão elétrica</t>
        </is>
      </c>
      <c r="I21" s="205" t="n"/>
      <c r="J21" s="205" t="n"/>
      <c r="K21" s="205" t="n"/>
      <c r="L21" s="205" t="n"/>
      <c r="M21" s="206" t="n"/>
      <c r="N21" s="224" t="n"/>
      <c r="O21" s="184" t="n"/>
      <c r="P21" s="184" t="n"/>
      <c r="Q21" s="184" t="n"/>
      <c r="R21" s="184" t="n"/>
      <c r="S21" s="185" t="n"/>
      <c r="X21" s="69" t="n"/>
      <c r="Z21" s="69" t="n"/>
    </row>
    <row r="22">
      <c r="A22" s="3" t="inlineStr">
        <is>
          <t>Direção do fluxo</t>
        </is>
      </c>
      <c r="B22" s="229" t="n"/>
      <c r="C22" s="205" t="n"/>
      <c r="D22" s="205" t="n"/>
      <c r="E22" s="205" t="n"/>
      <c r="F22" s="205" t="n"/>
      <c r="G22" s="216" t="n"/>
      <c r="H22" s="130" t="inlineStr">
        <is>
          <t>Classificação de área</t>
        </is>
      </c>
      <c r="I22" s="205" t="n"/>
      <c r="J22" s="205" t="n"/>
      <c r="K22" s="205" t="n"/>
      <c r="L22" s="205" t="n"/>
      <c r="M22" s="206" t="n"/>
      <c r="N22" s="224" t="n"/>
      <c r="O22" s="184" t="n"/>
      <c r="P22" s="184" t="n"/>
      <c r="Q22" s="184" t="n"/>
      <c r="R22" s="184" t="n"/>
      <c r="S22" s="185" t="n"/>
      <c r="X22" s="69" t="n"/>
      <c r="Z22" s="69" t="n"/>
    </row>
    <row r="23" ht="13.8" customHeight="1" thickBot="1">
      <c r="A23" s="6" t="inlineStr">
        <is>
          <t>Guias</t>
        </is>
      </c>
      <c r="B23" s="230" t="n"/>
      <c r="C23" s="208" t="n"/>
      <c r="D23" s="208" t="n"/>
      <c r="E23" s="208" t="n"/>
      <c r="F23" s="208" t="n"/>
      <c r="G23" s="226" t="n"/>
      <c r="H23" s="147" t="inlineStr">
        <is>
          <t>Classificação do invólucro</t>
        </is>
      </c>
      <c r="I23" s="184" t="n"/>
      <c r="J23" s="184" t="n"/>
      <c r="K23" s="184" t="n"/>
      <c r="L23" s="184" t="n"/>
      <c r="M23" s="231" t="n"/>
      <c r="N23" s="224" t="n"/>
      <c r="O23" s="184" t="n"/>
      <c r="P23" s="184" t="n"/>
      <c r="Q23" s="184" t="n"/>
      <c r="R23" s="184" t="n"/>
      <c r="S23" s="185" t="n"/>
      <c r="X23" s="69" t="n"/>
      <c r="Z23" s="69" t="n"/>
    </row>
    <row r="24" ht="13.8" customHeight="1" thickBot="1">
      <c r="A24" s="220" t="inlineStr">
        <is>
          <t>ATUADOR</t>
        </is>
      </c>
      <c r="B24" s="221" t="n"/>
      <c r="C24" s="221" t="n"/>
      <c r="D24" s="221" t="n"/>
      <c r="E24" s="221" t="n"/>
      <c r="F24" s="221" t="n"/>
      <c r="G24" s="222" t="n"/>
      <c r="H24" s="220" t="inlineStr">
        <is>
          <t>DADOS DE PROCESSO</t>
        </is>
      </c>
      <c r="I24" s="221" t="n"/>
      <c r="J24" s="221" t="n"/>
      <c r="K24" s="221" t="n"/>
      <c r="L24" s="221" t="n"/>
      <c r="M24" s="221" t="n"/>
      <c r="N24" s="221" t="n"/>
      <c r="O24" s="221" t="n"/>
      <c r="P24" s="221" t="n"/>
      <c r="Q24" s="221" t="n"/>
      <c r="R24" s="221" t="n"/>
      <c r="S24" s="222" t="n"/>
    </row>
    <row r="25">
      <c r="A25" s="17" t="inlineStr">
        <is>
          <t>Tipo</t>
        </is>
      </c>
      <c r="B25" s="152" t="n"/>
      <c r="C25" s="181" t="n"/>
      <c r="D25" s="181" t="n"/>
      <c r="E25" s="181" t="n"/>
      <c r="F25" s="181" t="n"/>
      <c r="G25" s="181" t="n"/>
      <c r="H25" s="18" t="inlineStr">
        <is>
          <t>Fluido</t>
        </is>
      </c>
      <c r="I25" s="212" t="n"/>
      <c r="J25" s="212" t="n"/>
      <c r="K25" s="212" t="n"/>
      <c r="L25" s="212" t="n"/>
      <c r="M25" s="213" t="n"/>
      <c r="N25" s="232" t="inlineStr">
        <is>
          <t>(NOTA 1)</t>
        </is>
      </c>
      <c r="O25" s="173" t="n"/>
      <c r="P25" s="173" t="n"/>
      <c r="Q25" s="173" t="n"/>
      <c r="R25" s="173" t="n"/>
      <c r="S25" s="177" t="n"/>
    </row>
    <row r="26">
      <c r="A26" s="3" t="inlineStr">
        <is>
          <t>Range</t>
        </is>
      </c>
      <c r="B26" s="148" t="n"/>
      <c r="C26" s="205" t="n"/>
      <c r="D26" s="205" t="n"/>
      <c r="E26" s="205" t="n"/>
      <c r="F26" s="205" t="n"/>
      <c r="G26" s="205" t="n"/>
      <c r="H26" s="3" t="inlineStr">
        <is>
          <t>Estado físico</t>
        </is>
      </c>
      <c r="I26" s="205" t="n"/>
      <c r="J26" s="205" t="n"/>
      <c r="K26" s="205" t="n"/>
      <c r="L26" s="205" t="n"/>
      <c r="M26" s="206" t="n"/>
      <c r="N26" s="233" t="n"/>
      <c r="O26" s="184" t="n"/>
      <c r="P26" s="184" t="n"/>
      <c r="Q26" s="184" t="n"/>
      <c r="R26" s="184" t="n"/>
      <c r="S26" s="185" t="n"/>
    </row>
    <row r="27">
      <c r="A27" s="3" t="inlineStr">
        <is>
          <t>Volante</t>
        </is>
      </c>
      <c r="B27" s="148" t="n"/>
      <c r="C27" s="205" t="n"/>
      <c r="D27" s="205" t="n"/>
      <c r="E27" s="205" t="n"/>
      <c r="F27" s="205" t="n"/>
      <c r="G27" s="205" t="n"/>
      <c r="H27" s="3" t="inlineStr">
        <is>
          <t>Pressão de entrada</t>
        </is>
      </c>
      <c r="I27" s="205" t="n"/>
      <c r="J27" s="205" t="n"/>
      <c r="K27" s="205" t="n"/>
      <c r="L27" s="205" t="n"/>
      <c r="M27" s="206" t="n"/>
      <c r="N27" s="233" t="inlineStr">
        <is>
          <t>1,2</t>
        </is>
      </c>
      <c r="O27" s="184" t="n"/>
      <c r="P27" s="184" t="n"/>
      <c r="Q27" s="184" t="n"/>
      <c r="R27" s="184" t="n"/>
      <c r="S27" s="185" t="n"/>
    </row>
    <row r="28">
      <c r="A28" s="3" t="inlineStr">
        <is>
          <t>Ação em caso de falha</t>
        </is>
      </c>
      <c r="B28" s="148" t="n"/>
      <c r="C28" s="205" t="n"/>
      <c r="D28" s="205" t="n"/>
      <c r="E28" s="205" t="n"/>
      <c r="F28" s="205" t="n"/>
      <c r="G28" s="205" t="n"/>
      <c r="H28" s="3" t="inlineStr">
        <is>
          <t>Pressão de saída</t>
        </is>
      </c>
      <c r="I28" s="205" t="n"/>
      <c r="J28" s="205" t="n"/>
      <c r="K28" s="205" t="n"/>
      <c r="L28" s="205" t="n"/>
      <c r="M28" s="206" t="n"/>
      <c r="N28" s="233" t="n"/>
      <c r="O28" s="184" t="n"/>
      <c r="P28" s="184" t="n"/>
      <c r="Q28" s="184" t="n"/>
      <c r="R28" s="184" t="n"/>
      <c r="S28" s="185" t="n"/>
    </row>
    <row r="29" ht="13.8" customHeight="1" thickBot="1">
      <c r="A29" s="16" t="inlineStr">
        <is>
          <t>Pressão suprimento de ar (min/max)</t>
        </is>
      </c>
      <c r="B29" s="150" t="n"/>
      <c r="C29" s="184" t="n"/>
      <c r="D29" s="184" t="n"/>
      <c r="E29" s="184" t="n"/>
      <c r="F29" s="184" t="n"/>
      <c r="G29" s="184" t="n"/>
      <c r="H29" s="3" t="inlineStr">
        <is>
          <t>Viscosidade</t>
        </is>
      </c>
      <c r="I29" s="205" t="n"/>
      <c r="J29" s="205" t="n"/>
      <c r="K29" s="205" t="n"/>
      <c r="L29" s="205" t="n"/>
      <c r="M29" s="206" t="n"/>
      <c r="N29" s="233" t="inlineStr">
        <is>
          <t>&lt;50 cP</t>
        </is>
      </c>
      <c r="O29" s="184" t="n"/>
      <c r="P29" s="184" t="n"/>
      <c r="Q29" s="184" t="n"/>
      <c r="R29" s="184" t="n"/>
      <c r="S29" s="185" t="n"/>
    </row>
    <row r="30" ht="13.8" customHeight="1" thickBot="1">
      <c r="A30" s="142" t="inlineStr">
        <is>
          <t>POSICIONADOR</t>
        </is>
      </c>
      <c r="B30" s="221" t="n"/>
      <c r="C30" s="221" t="n"/>
      <c r="D30" s="221" t="n"/>
      <c r="E30" s="221" t="n"/>
      <c r="F30" s="221" t="n"/>
      <c r="G30" s="221" t="n"/>
      <c r="H30" s="3" t="inlineStr">
        <is>
          <t>Vazão normal</t>
        </is>
      </c>
      <c r="I30" s="205" t="n"/>
      <c r="J30" s="205" t="n"/>
      <c r="K30" s="205" t="n"/>
      <c r="L30" s="205" t="n"/>
      <c r="M30" s="206" t="n"/>
      <c r="N30" s="233" t="n"/>
      <c r="O30" s="184" t="n"/>
      <c r="P30" s="184" t="n"/>
      <c r="Q30" s="184" t="n"/>
      <c r="R30" s="184" t="n"/>
      <c r="S30" s="185" t="n"/>
    </row>
    <row r="31">
      <c r="A31" s="17" t="inlineStr">
        <is>
          <t>Tipo</t>
        </is>
      </c>
      <c r="B31" s="152" t="n"/>
      <c r="C31" s="181" t="n"/>
      <c r="D31" s="181" t="n"/>
      <c r="E31" s="181" t="n"/>
      <c r="F31" s="181" t="n"/>
      <c r="G31" s="181" t="n"/>
      <c r="H31" s="3" t="inlineStr">
        <is>
          <t>Vazão máxima</t>
        </is>
      </c>
      <c r="I31" s="205" t="n"/>
      <c r="J31" s="205" t="n"/>
      <c r="K31" s="205" t="n"/>
      <c r="L31" s="205" t="n"/>
      <c r="M31" s="206" t="n"/>
      <c r="N31" s="233" t="inlineStr">
        <is>
          <t>30.0</t>
        </is>
      </c>
      <c r="O31" s="184" t="n"/>
      <c r="P31" s="184" t="n"/>
      <c r="Q31" s="184" t="n"/>
      <c r="R31" s="184" t="n"/>
      <c r="S31" s="185" t="n"/>
    </row>
    <row r="32">
      <c r="A32" s="3" t="inlineStr">
        <is>
          <t>By-pass</t>
        </is>
      </c>
      <c r="B32" s="148" t="n"/>
      <c r="C32" s="205" t="n"/>
      <c r="D32" s="205" t="n"/>
      <c r="E32" s="205" t="n"/>
      <c r="F32" s="205" t="n"/>
      <c r="G32" s="205" t="n"/>
      <c r="H32" s="3" t="inlineStr">
        <is>
          <t>Vazão mínima</t>
        </is>
      </c>
      <c r="I32" s="205" t="n"/>
      <c r="J32" s="205" t="n"/>
      <c r="K32" s="205" t="n"/>
      <c r="L32" s="205" t="n"/>
      <c r="M32" s="206" t="n"/>
      <c r="N32" s="233" t="inlineStr">
        <is>
          <t>15.0</t>
        </is>
      </c>
      <c r="O32" s="184" t="n"/>
      <c r="P32" s="184" t="n"/>
      <c r="Q32" s="184" t="n"/>
      <c r="R32" s="184" t="n"/>
      <c r="S32" s="185" t="n"/>
    </row>
    <row r="33">
      <c r="A33" s="3" t="inlineStr">
        <is>
          <t>Manômetros quantidade</t>
        </is>
      </c>
      <c r="B33" s="148" t="n"/>
      <c r="C33" s="205" t="n"/>
      <c r="D33" s="205" t="n"/>
      <c r="E33" s="205" t="n"/>
      <c r="F33" s="205" t="n"/>
      <c r="G33" s="205" t="n"/>
      <c r="H33" s="3" t="inlineStr">
        <is>
          <t>Pressão shut off</t>
        </is>
      </c>
      <c r="I33" s="205" t="n"/>
      <c r="J33" s="205" t="n"/>
      <c r="K33" s="205" t="n"/>
      <c r="L33" s="205" t="n"/>
      <c r="M33" s="206" t="n"/>
      <c r="N33" s="233" t="n"/>
      <c r="O33" s="184" t="n"/>
      <c r="P33" s="184" t="n"/>
      <c r="Q33" s="184" t="n"/>
      <c r="R33" s="184" t="n"/>
      <c r="S33" s="185" t="n"/>
    </row>
    <row r="34">
      <c r="A34" s="3" t="inlineStr">
        <is>
          <t>Sinal de entrada</t>
        </is>
      </c>
      <c r="B34" s="148" t="n"/>
      <c r="C34" s="205" t="n"/>
      <c r="D34" s="205" t="n"/>
      <c r="E34" s="205" t="n"/>
      <c r="F34" s="205" t="n"/>
      <c r="G34" s="205" t="n"/>
      <c r="H34" s="3" t="inlineStr">
        <is>
          <t>Temperatura máxima</t>
        </is>
      </c>
      <c r="I34" s="205" t="n"/>
      <c r="J34" s="205" t="n"/>
      <c r="K34" s="205" t="n"/>
      <c r="L34" s="205" t="n"/>
      <c r="M34" s="206" t="n"/>
      <c r="N34" s="233" t="inlineStr">
        <is>
          <t>35</t>
        </is>
      </c>
      <c r="O34" s="184" t="n"/>
      <c r="P34" s="184" t="n"/>
      <c r="Q34" s="184" t="n"/>
      <c r="R34" s="184" t="n"/>
      <c r="S34" s="185" t="n"/>
    </row>
    <row r="35">
      <c r="A35" s="3" t="inlineStr">
        <is>
          <t>Sial de saída</t>
        </is>
      </c>
      <c r="B35" s="148" t="n"/>
      <c r="C35" s="205" t="n"/>
      <c r="D35" s="205" t="n"/>
      <c r="E35" s="205" t="n"/>
      <c r="F35" s="205" t="n"/>
      <c r="G35" s="205" t="n"/>
      <c r="H35" s="3" t="inlineStr">
        <is>
          <t>Temperatura normal</t>
        </is>
      </c>
      <c r="I35" s="205" t="n"/>
      <c r="J35" s="205" t="n"/>
      <c r="K35" s="205" t="n"/>
      <c r="L35" s="205" t="n"/>
      <c r="M35" s="206" t="n"/>
      <c r="N35" s="233" t="n"/>
      <c r="O35" s="184" t="n"/>
      <c r="P35" s="184" t="n"/>
      <c r="Q35" s="184" t="n"/>
      <c r="R35" s="184" t="n"/>
      <c r="S35" s="185" t="n"/>
    </row>
    <row r="36">
      <c r="A36" s="3" t="inlineStr">
        <is>
          <t>Característica do came</t>
        </is>
      </c>
      <c r="B36" s="148" t="n"/>
      <c r="C36" s="205" t="n"/>
      <c r="D36" s="205" t="n"/>
      <c r="E36" s="205" t="n"/>
      <c r="F36" s="205" t="n"/>
      <c r="G36" s="205" t="n"/>
      <c r="H36" s="3" t="inlineStr">
        <is>
          <t>Massa específica</t>
        </is>
      </c>
      <c r="I36" s="205" t="n"/>
      <c r="J36" s="205" t="n"/>
      <c r="K36" s="205" t="n"/>
      <c r="L36" s="205" t="n"/>
      <c r="M36" s="206" t="n"/>
      <c r="N36" s="233" t="inlineStr">
        <is>
          <t>1120 kg/m3</t>
        </is>
      </c>
      <c r="O36" s="184" t="n"/>
      <c r="P36" s="184" t="n"/>
      <c r="Q36" s="184" t="n"/>
      <c r="R36" s="184" t="n"/>
      <c r="S36" s="185" t="n"/>
    </row>
    <row r="37" ht="13.8" customHeight="1" thickBot="1">
      <c r="A37" s="16" t="inlineStr">
        <is>
          <t>Alimentação de ar</t>
        </is>
      </c>
      <c r="B37" s="150" t="n"/>
      <c r="C37" s="184" t="n"/>
      <c r="D37" s="184" t="n"/>
      <c r="E37" s="184" t="n"/>
      <c r="F37" s="184" t="n"/>
      <c r="G37" s="184" t="n"/>
      <c r="H37" s="3" t="inlineStr">
        <is>
          <t>Cv calculado (máximo) / % abertura</t>
        </is>
      </c>
      <c r="I37" s="205" t="n"/>
      <c r="J37" s="205" t="n"/>
      <c r="K37" s="205" t="n"/>
      <c r="L37" s="205" t="n"/>
      <c r="M37" s="206" t="n"/>
      <c r="N37" s="224" t="n"/>
      <c r="O37" s="184" t="n"/>
      <c r="P37" s="184" t="n"/>
      <c r="Q37" s="184" t="n"/>
      <c r="R37" s="184" t="n"/>
      <c r="S37" s="185" t="n"/>
    </row>
    <row r="38" ht="13.8" customHeight="1" thickBot="1">
      <c r="A38" s="142" t="inlineStr">
        <is>
          <t>ACESSÓRIOS</t>
        </is>
      </c>
      <c r="B38" s="221" t="n"/>
      <c r="C38" s="221" t="n"/>
      <c r="D38" s="221" t="n"/>
      <c r="E38" s="221" t="n"/>
      <c r="F38" s="221" t="n"/>
      <c r="G38" s="221" t="n"/>
      <c r="H38" s="3" t="inlineStr">
        <is>
          <t>Cv calculado (normal) / % abertura</t>
        </is>
      </c>
      <c r="I38" s="205" t="n"/>
      <c r="J38" s="205" t="n"/>
      <c r="K38" s="205" t="n"/>
      <c r="L38" s="205" t="n"/>
      <c r="M38" s="206" t="n"/>
      <c r="N38" s="224" t="n"/>
      <c r="O38" s="184" t="n"/>
      <c r="P38" s="184" t="n"/>
      <c r="Q38" s="184" t="n"/>
      <c r="R38" s="184" t="n"/>
      <c r="S38" s="185" t="n"/>
    </row>
    <row r="39">
      <c r="A39" s="17" t="inlineStr">
        <is>
          <t>Filtro / Filtro regulador</t>
        </is>
      </c>
      <c r="B39" s="152" t="n"/>
      <c r="C39" s="181" t="n"/>
      <c r="D39" s="181" t="n"/>
      <c r="E39" s="181" t="n"/>
      <c r="F39" s="181" t="n"/>
      <c r="G39" s="181" t="n"/>
      <c r="H39" s="3" t="inlineStr">
        <is>
          <t>Cv calculado (mínimo) / % abertura</t>
        </is>
      </c>
      <c r="I39" s="205" t="n"/>
      <c r="J39" s="205" t="n"/>
      <c r="K39" s="205" t="n"/>
      <c r="L39" s="205" t="n"/>
      <c r="M39" s="206" t="n"/>
      <c r="N39" s="224" t="n"/>
      <c r="O39" s="184" t="n"/>
      <c r="P39" s="184" t="n"/>
      <c r="Q39" s="184" t="n"/>
      <c r="R39" s="184" t="n"/>
      <c r="S39" s="185" t="n"/>
    </row>
    <row r="40">
      <c r="A40" s="3" t="inlineStr">
        <is>
          <t>Manômetro para o regulador</t>
        </is>
      </c>
      <c r="B40" s="148" t="n"/>
      <c r="C40" s="205" t="n"/>
      <c r="D40" s="205" t="n"/>
      <c r="E40" s="205" t="n"/>
      <c r="F40" s="205" t="n"/>
      <c r="G40" s="205" t="n"/>
      <c r="H40" s="3" t="inlineStr">
        <is>
          <t>Cv selecionado</t>
        </is>
      </c>
      <c r="I40" s="205" t="n"/>
      <c r="J40" s="205" t="n"/>
      <c r="K40" s="205" t="n"/>
      <c r="L40" s="205" t="n"/>
      <c r="M40" s="206" t="n"/>
      <c r="N40" s="224" t="n"/>
      <c r="O40" s="184" t="n"/>
      <c r="P40" s="184" t="n"/>
      <c r="Q40" s="184" t="n"/>
      <c r="R40" s="184" t="n"/>
      <c r="S40" s="185" t="n"/>
    </row>
    <row r="41" ht="13.8" customHeight="1" thickBot="1">
      <c r="A41" s="6" t="inlineStr">
        <is>
          <t>Posição do volante</t>
        </is>
      </c>
      <c r="B41" s="154" t="n"/>
      <c r="C41" s="208" t="n"/>
      <c r="D41" s="208" t="n"/>
      <c r="E41" s="208" t="n"/>
      <c r="F41" s="208" t="n"/>
      <c r="G41" s="208" t="n"/>
      <c r="H41" s="6" t="inlineStr">
        <is>
          <t>Nível de ruído</t>
        </is>
      </c>
      <c r="I41" s="208" t="n"/>
      <c r="J41" s="208" t="n"/>
      <c r="K41" s="208" t="n"/>
      <c r="L41" s="208" t="n"/>
      <c r="M41" s="209" t="n"/>
      <c r="N41" s="225" t="n"/>
      <c r="O41" s="208" t="n"/>
      <c r="P41" s="208" t="n"/>
      <c r="Q41" s="208" t="n"/>
      <c r="R41" s="208" t="n"/>
      <c r="S41" s="226" t="n"/>
    </row>
    <row r="42">
      <c r="A42" s="234" t="inlineStr">
        <is>
          <t>Notas:</t>
        </is>
      </c>
      <c r="B42" s="173" t="n"/>
      <c r="C42" s="173" t="n"/>
      <c r="D42" s="173" t="n"/>
      <c r="E42" s="173" t="n"/>
      <c r="F42" s="173" t="n"/>
      <c r="G42" s="173" t="n"/>
      <c r="H42" s="173" t="n"/>
      <c r="I42" s="173" t="n"/>
      <c r="J42" s="173" t="n"/>
      <c r="K42" s="173" t="n"/>
      <c r="L42" s="173" t="n"/>
      <c r="M42" s="173" t="n"/>
      <c r="N42" s="173" t="n"/>
      <c r="O42" s="173" t="n"/>
      <c r="P42" s="173" t="n"/>
      <c r="Q42" s="173" t="n"/>
      <c r="R42" s="173" t="n"/>
      <c r="S42" s="177" t="n"/>
    </row>
    <row r="43" ht="13.8" customHeight="1" thickBot="1">
      <c r="A43" s="235" t="inlineStr">
        <is>
          <t>(NOTA 1): CRESTIVO (A16003E); BIRK 25% (A25191A); BIRTEA; CRESTIVO DUO</t>
        </is>
      </c>
      <c r="B43" s="197" t="n"/>
      <c r="C43" s="197" t="n"/>
      <c r="D43" s="197" t="n"/>
      <c r="E43" s="197" t="n"/>
      <c r="F43" s="197" t="n"/>
      <c r="G43" s="197" t="n"/>
      <c r="H43" s="197" t="n"/>
      <c r="I43" s="197" t="n"/>
      <c r="J43" s="197" t="n"/>
      <c r="K43" s="197" t="n"/>
      <c r="L43" s="197" t="n"/>
      <c r="M43" s="197" t="n"/>
      <c r="N43" s="197" t="n"/>
      <c r="O43" s="197" t="n"/>
      <c r="P43" s="197" t="n"/>
      <c r="Q43" s="197" t="n"/>
      <c r="R43" s="197" t="n"/>
      <c r="S43" s="199" t="n"/>
    </row>
    <row r="44">
      <c r="A44" s="7" t="n"/>
    </row>
    <row r="45">
      <c r="A45" s="2" t="n"/>
    </row>
    <row r="46">
      <c r="A46" s="2" t="n"/>
    </row>
    <row r="47">
      <c r="A47" s="2" t="n"/>
    </row>
    <row r="48">
      <c r="A48" s="2" t="n"/>
    </row>
    <row r="49">
      <c r="A49" s="2" t="n"/>
    </row>
    <row r="50">
      <c r="A50" s="2" t="n"/>
    </row>
    <row r="51">
      <c r="A51" s="2" t="n"/>
    </row>
    <row r="52">
      <c r="A52" s="2" t="n"/>
    </row>
    <row r="53">
      <c r="A53" s="2" t="n"/>
    </row>
    <row r="54">
      <c r="A54" s="2" t="n"/>
    </row>
  </sheetData>
  <mergeCells count="116">
    <mergeCell ref="H21:M21"/>
    <mergeCell ref="N23:S23"/>
    <mergeCell ref="B8:G8"/>
    <mergeCell ref="N18:S18"/>
    <mergeCell ref="A1:A4"/>
    <mergeCell ref="N8:S8"/>
    <mergeCell ref="H7:M7"/>
    <mergeCell ref="B10:G10"/>
    <mergeCell ref="N10:S10"/>
    <mergeCell ref="A30:G30"/>
    <mergeCell ref="H27:M27"/>
    <mergeCell ref="N34:S34"/>
    <mergeCell ref="H33:M33"/>
    <mergeCell ref="B36:G36"/>
    <mergeCell ref="N27:S27"/>
    <mergeCell ref="H5:S5"/>
    <mergeCell ref="N36:S36"/>
    <mergeCell ref="H35:M35"/>
    <mergeCell ref="N11:S11"/>
    <mergeCell ref="N20:S20"/>
    <mergeCell ref="B22:G22"/>
    <mergeCell ref="B31:G31"/>
    <mergeCell ref="N22:S22"/>
    <mergeCell ref="H9:M9"/>
    <mergeCell ref="B12:G12"/>
    <mergeCell ref="H39:M39"/>
    <mergeCell ref="B21:G21"/>
    <mergeCell ref="B39:G39"/>
    <mergeCell ref="N12:S12"/>
    <mergeCell ref="N21:S21"/>
    <mergeCell ref="B14:G14"/>
    <mergeCell ref="B23:G23"/>
    <mergeCell ref="N14:S14"/>
    <mergeCell ref="B13:G13"/>
    <mergeCell ref="A43:S43"/>
    <mergeCell ref="N38:S38"/>
    <mergeCell ref="H16:S16"/>
    <mergeCell ref="H32:M32"/>
    <mergeCell ref="H13:M13"/>
    <mergeCell ref="N40:S40"/>
    <mergeCell ref="B33:G33"/>
    <mergeCell ref="H15:M15"/>
    <mergeCell ref="H18:M18"/>
    <mergeCell ref="B41:G41"/>
    <mergeCell ref="B35:G35"/>
    <mergeCell ref="C2:S2"/>
    <mergeCell ref="H8:M8"/>
    <mergeCell ref="N26:S26"/>
    <mergeCell ref="N35:S35"/>
    <mergeCell ref="H26:M26"/>
    <mergeCell ref="B25:G25"/>
    <mergeCell ref="N25:S25"/>
    <mergeCell ref="H10:M10"/>
    <mergeCell ref="H41:M41"/>
    <mergeCell ref="B27:G27"/>
    <mergeCell ref="H34:M34"/>
    <mergeCell ref="H25:M25"/>
    <mergeCell ref="B11:G11"/>
    <mergeCell ref="A5:G5"/>
    <mergeCell ref="A42:S42"/>
    <mergeCell ref="H36:M36"/>
    <mergeCell ref="A38:G38"/>
    <mergeCell ref="H17:M17"/>
    <mergeCell ref="N39:S39"/>
    <mergeCell ref="H11:M11"/>
    <mergeCell ref="B29:G29"/>
    <mergeCell ref="N29:S29"/>
    <mergeCell ref="H19:M19"/>
    <mergeCell ref="H28:M28"/>
    <mergeCell ref="H37:M37"/>
    <mergeCell ref="A24:G24"/>
    <mergeCell ref="N13:S13"/>
    <mergeCell ref="B40:G40"/>
    <mergeCell ref="H12:M12"/>
    <mergeCell ref="N31:S31"/>
    <mergeCell ref="B15:G15"/>
    <mergeCell ref="J1:S1"/>
    <mergeCell ref="N6:S6"/>
    <mergeCell ref="N15:S15"/>
    <mergeCell ref="H24:S24"/>
    <mergeCell ref="H14:M14"/>
    <mergeCell ref="B32:G32"/>
    <mergeCell ref="H23:M23"/>
    <mergeCell ref="A16:G16"/>
    <mergeCell ref="B26:G26"/>
    <mergeCell ref="Y16:Y23"/>
    <mergeCell ref="B7:G7"/>
    <mergeCell ref="H38:M38"/>
    <mergeCell ref="N32:S32"/>
    <mergeCell ref="N7:S7"/>
    <mergeCell ref="N41:S41"/>
    <mergeCell ref="H40:M40"/>
    <mergeCell ref="B18:G18"/>
    <mergeCell ref="N33:S33"/>
    <mergeCell ref="B17:G17"/>
    <mergeCell ref="N17:S17"/>
    <mergeCell ref="B19:G19"/>
    <mergeCell ref="B34:G34"/>
    <mergeCell ref="B28:G28"/>
    <mergeCell ref="B37:G37"/>
    <mergeCell ref="N19:S19"/>
    <mergeCell ref="H22:M22"/>
    <mergeCell ref="B9:G9"/>
    <mergeCell ref="N28:S28"/>
    <mergeCell ref="N9:S9"/>
    <mergeCell ref="B6:G6"/>
    <mergeCell ref="B20:G20"/>
    <mergeCell ref="N30:S30"/>
    <mergeCell ref="B3:S4"/>
    <mergeCell ref="H30:M30"/>
    <mergeCell ref="H20:M20"/>
    <mergeCell ref="H29:M29"/>
    <mergeCell ref="B1:H1"/>
    <mergeCell ref="N37:S37"/>
    <mergeCell ref="H31:M31"/>
    <mergeCell ref="H6:M6"/>
  </mergeCells>
  <pageMargins left="0.25" right="0.25" top="0.75" bottom="0.75" header="0.3" footer="0.3"/>
  <pageSetup orientation="portrait" paperSize="9" scale="82"/>
</worksheet>
</file>

<file path=xl/worksheets/sheet5.xml><?xml version="1.0" encoding="utf-8"?>
<worksheet xmlns="http://schemas.openxmlformats.org/spreadsheetml/2006/main">
  <sheetPr codeName="Planilha2">
    <outlinePr summaryBelow="1" summaryRight="1"/>
    <pageSetUpPr fitToPage="1"/>
  </sheetPr>
  <dimension ref="A1:Z54"/>
  <sheetViews>
    <sheetView workbookViewId="0">
      <selection activeCell="A1" sqref="A1"/>
    </sheetView>
  </sheetViews>
  <sheetFormatPr baseColWidth="8" defaultRowHeight="13.2"/>
  <cols>
    <col width="35.109375" bestFit="1" customWidth="1" style="137" min="1" max="1"/>
    <col width="4.88671875" customWidth="1" style="137" min="2" max="19"/>
  </cols>
  <sheetData>
    <row r="1" ht="14.25" customHeight="1">
      <c r="A1" s="210">
        <f>_xlfn.IMAGE("https://technikgrupo.sharepoint.com/sites/transfer/Logos/Technik.png")</f>
        <v/>
      </c>
      <c r="B1" s="211" t="inlineStr">
        <is>
          <t>FOLHA DE DADOS</t>
        </is>
      </c>
      <c r="C1" s="212" t="n"/>
      <c r="D1" s="212" t="n"/>
      <c r="E1" s="212" t="n"/>
      <c r="F1" s="212" t="n"/>
      <c r="G1" s="212" t="n"/>
      <c r="H1" s="213" t="n"/>
      <c r="I1" s="19" t="inlineStr">
        <is>
          <t>Nº.:</t>
        </is>
      </c>
      <c r="J1" s="166">
        <f>"FD-"&amp;Config!D2&amp;"-"&amp;Config!F2&amp;"-001"</f>
        <v/>
      </c>
      <c r="K1" s="212" t="n"/>
      <c r="L1" s="212" t="n"/>
      <c r="M1" s="212" t="n"/>
      <c r="N1" s="212" t="n"/>
      <c r="O1" s="212" t="n"/>
      <c r="P1" s="212" t="n"/>
      <c r="Q1" s="212" t="n"/>
      <c r="R1" s="212" t="n"/>
      <c r="S1" s="214" t="n"/>
    </row>
    <row r="2" ht="14.25" customHeight="1">
      <c r="A2" s="215" t="n"/>
      <c r="B2" s="20" t="inlineStr">
        <is>
          <t>ÁREA:</t>
        </is>
      </c>
      <c r="C2" s="164" t="inlineStr">
        <is>
          <t>PÁTIO D3</t>
        </is>
      </c>
      <c r="D2" s="205" t="n"/>
      <c r="E2" s="205" t="n"/>
      <c r="F2" s="205" t="n"/>
      <c r="G2" s="205" t="n"/>
      <c r="H2" s="205" t="n"/>
      <c r="I2" s="205" t="n"/>
      <c r="J2" s="205" t="n"/>
      <c r="K2" s="205" t="n"/>
      <c r="L2" s="205" t="n"/>
      <c r="M2" s="205" t="n"/>
      <c r="N2" s="205" t="n"/>
      <c r="O2" s="205" t="n"/>
      <c r="P2" s="205" t="n"/>
      <c r="Q2" s="205" t="n"/>
      <c r="R2" s="205" t="n"/>
      <c r="S2" s="216" t="n"/>
    </row>
    <row r="3" ht="14.25" customHeight="1">
      <c r="A3" s="215" t="n"/>
      <c r="B3" s="217" t="inlineStr">
        <is>
          <t>VÁLVULA ON OFF</t>
        </is>
      </c>
      <c r="C3" s="184" t="n"/>
      <c r="D3" s="184" t="n"/>
      <c r="E3" s="184" t="n"/>
      <c r="F3" s="184" t="n"/>
      <c r="G3" s="184" t="n"/>
      <c r="H3" s="184" t="n"/>
      <c r="I3" s="184" t="n"/>
      <c r="J3" s="184" t="n"/>
      <c r="K3" s="184" t="n"/>
      <c r="L3" s="184" t="n"/>
      <c r="M3" s="184" t="n"/>
      <c r="N3" s="184" t="n"/>
      <c r="O3" s="184" t="n"/>
      <c r="P3" s="184" t="n"/>
      <c r="Q3" s="184" t="n"/>
      <c r="R3" s="184" t="n"/>
      <c r="S3" s="185" t="n"/>
    </row>
    <row r="4" ht="14.25" customHeight="1" thickBot="1">
      <c r="A4" s="218" t="n"/>
      <c r="B4" s="219" t="n"/>
      <c r="C4" s="197" t="n"/>
      <c r="D4" s="197" t="n"/>
      <c r="E4" s="197" t="n"/>
      <c r="F4" s="197" t="n"/>
      <c r="G4" s="197" t="n"/>
      <c r="H4" s="197" t="n"/>
      <c r="I4" s="197" t="n"/>
      <c r="J4" s="197" t="n"/>
      <c r="K4" s="197" t="n"/>
      <c r="L4" s="197" t="n"/>
      <c r="M4" s="197" t="n"/>
      <c r="N4" s="197" t="n"/>
      <c r="O4" s="197" t="n"/>
      <c r="P4" s="197" t="n"/>
      <c r="Q4" s="197" t="n"/>
      <c r="R4" s="197" t="n"/>
      <c r="S4" s="199" t="n"/>
    </row>
    <row r="5" ht="13.8" customHeight="1" thickBot="1">
      <c r="A5" s="220" t="inlineStr">
        <is>
          <t>GERAL</t>
        </is>
      </c>
      <c r="B5" s="221" t="n"/>
      <c r="C5" s="221" t="n"/>
      <c r="D5" s="221" t="n"/>
      <c r="E5" s="221" t="n"/>
      <c r="F5" s="221" t="n"/>
      <c r="G5" s="222" t="n"/>
      <c r="H5" s="220" t="inlineStr">
        <is>
          <t>VÁLVULA SOLENÓIDE</t>
        </is>
      </c>
      <c r="I5" s="221" t="n"/>
      <c r="J5" s="221" t="n"/>
      <c r="K5" s="221" t="n"/>
      <c r="L5" s="221" t="n"/>
      <c r="M5" s="221" t="n"/>
      <c r="N5" s="221" t="n"/>
      <c r="O5" s="221" t="n"/>
      <c r="P5" s="221" t="n"/>
      <c r="Q5" s="221" t="n"/>
      <c r="R5" s="221" t="n"/>
      <c r="S5" s="222" t="n"/>
    </row>
    <row r="6">
      <c r="A6" s="17" t="inlineStr">
        <is>
          <t>TAG / Quantidade</t>
        </is>
      </c>
      <c r="B6" s="167" t="inlineStr">
        <is>
          <t>XV-1702.10</t>
        </is>
      </c>
      <c r="C6" s="181" t="n"/>
      <c r="D6" s="181" t="n"/>
      <c r="E6" s="181" t="n"/>
      <c r="F6" s="181" t="n"/>
      <c r="G6" s="181" t="n"/>
      <c r="H6" s="18" t="inlineStr">
        <is>
          <t>TAG</t>
        </is>
      </c>
      <c r="I6" s="212" t="n"/>
      <c r="J6" s="212" t="n"/>
      <c r="K6" s="212" t="n"/>
      <c r="L6" s="212" t="n"/>
      <c r="M6" s="213" t="n"/>
      <c r="N6" s="223" t="n"/>
      <c r="O6" s="173" t="n"/>
      <c r="P6" s="173" t="n"/>
      <c r="Q6" s="173" t="n"/>
      <c r="R6" s="173" t="n"/>
      <c r="S6" s="177" t="n"/>
    </row>
    <row r="7">
      <c r="A7" s="3" t="inlineStr">
        <is>
          <t>Função</t>
        </is>
      </c>
      <c r="B7" s="158" t="n"/>
      <c r="C7" s="205" t="n"/>
      <c r="D7" s="205" t="n"/>
      <c r="E7" s="205" t="n"/>
      <c r="F7" s="205" t="n"/>
      <c r="G7" s="205" t="n"/>
      <c r="H7" s="3" t="inlineStr">
        <is>
          <t>Tipo</t>
        </is>
      </c>
      <c r="I7" s="205" t="n"/>
      <c r="J7" s="205" t="n"/>
      <c r="K7" s="205" t="n"/>
      <c r="L7" s="205" t="n"/>
      <c r="M7" s="206" t="n"/>
      <c r="N7" s="224" t="n"/>
      <c r="O7" s="184" t="n"/>
      <c r="P7" s="184" t="n"/>
      <c r="Q7" s="184" t="n"/>
      <c r="R7" s="184" t="n"/>
      <c r="S7" s="185" t="n"/>
    </row>
    <row r="8">
      <c r="A8" s="4" t="inlineStr">
        <is>
          <t>Fluxograma</t>
        </is>
      </c>
      <c r="B8" s="158" t="inlineStr">
        <is>
          <t>PHS2-PR27-1701-FL.04 REV.00N</t>
        </is>
      </c>
      <c r="C8" s="205" t="n"/>
      <c r="D8" s="205" t="n"/>
      <c r="E8" s="205" t="n"/>
      <c r="F8" s="205" t="n"/>
      <c r="G8" s="205" t="n"/>
      <c r="H8" s="3" t="inlineStr">
        <is>
          <t>Número de vias/posições</t>
        </is>
      </c>
      <c r="I8" s="205" t="n"/>
      <c r="J8" s="205" t="n"/>
      <c r="K8" s="205" t="n"/>
      <c r="L8" s="205" t="n"/>
      <c r="M8" s="206" t="n"/>
      <c r="N8" s="224" t="n"/>
      <c r="O8" s="184" t="n"/>
      <c r="P8" s="184" t="n"/>
      <c r="Q8" s="184" t="n"/>
      <c r="R8" s="184" t="n"/>
      <c r="S8" s="185" t="n"/>
    </row>
    <row r="9">
      <c r="A9" s="3" t="inlineStr">
        <is>
          <t>Bitola da linha</t>
        </is>
      </c>
      <c r="B9" s="158" t="n"/>
      <c r="C9" s="205" t="n"/>
      <c r="D9" s="205" t="n"/>
      <c r="E9" s="205" t="n"/>
      <c r="F9" s="205" t="n"/>
      <c r="G9" s="205" t="n"/>
      <c r="H9" s="3" t="inlineStr">
        <is>
          <t>Material do corpo</t>
        </is>
      </c>
      <c r="I9" s="205" t="n"/>
      <c r="J9" s="205" t="n"/>
      <c r="K9" s="205" t="n"/>
      <c r="L9" s="205" t="n"/>
      <c r="M9" s="206" t="n"/>
      <c r="N9" s="224" t="n"/>
      <c r="O9" s="184" t="n"/>
      <c r="P9" s="184" t="n"/>
      <c r="Q9" s="184" t="n"/>
      <c r="R9" s="184" t="n"/>
      <c r="S9" s="185" t="n"/>
    </row>
    <row r="10">
      <c r="A10" s="3" t="inlineStr">
        <is>
          <t>Tipo do corpo</t>
        </is>
      </c>
      <c r="B10" s="158" t="inlineStr">
        <is>
          <t>GUILHOTINA AUTOMÁTICA</t>
        </is>
      </c>
      <c r="C10" s="205" t="n"/>
      <c r="D10" s="205" t="n"/>
      <c r="E10" s="205" t="n"/>
      <c r="F10" s="205" t="n"/>
      <c r="G10" s="205" t="n"/>
      <c r="H10" s="3" t="inlineStr">
        <is>
          <t>Classe da bobina</t>
        </is>
      </c>
      <c r="I10" s="205" t="n"/>
      <c r="J10" s="205" t="n"/>
      <c r="K10" s="205" t="n"/>
      <c r="L10" s="205" t="n"/>
      <c r="M10" s="206" t="n"/>
      <c r="N10" s="224" t="n"/>
      <c r="O10" s="184" t="n"/>
      <c r="P10" s="184" t="n"/>
      <c r="Q10" s="184" t="n"/>
      <c r="R10" s="184" t="n"/>
      <c r="S10" s="185" t="n"/>
    </row>
    <row r="11">
      <c r="A11" s="3" t="inlineStr">
        <is>
          <t>Material do corpo</t>
        </is>
      </c>
      <c r="B11" s="158" t="n"/>
      <c r="C11" s="205" t="n"/>
      <c r="D11" s="205" t="n"/>
      <c r="E11" s="205" t="n"/>
      <c r="F11" s="205" t="n"/>
      <c r="G11" s="205" t="n"/>
      <c r="H11" s="3" t="inlineStr">
        <is>
          <t>Número de bobinas</t>
        </is>
      </c>
      <c r="I11" s="205" t="n"/>
      <c r="J11" s="205" t="n"/>
      <c r="K11" s="205" t="n"/>
      <c r="L11" s="205" t="n"/>
      <c r="M11" s="206" t="n"/>
      <c r="N11" s="224" t="n"/>
      <c r="O11" s="184" t="n"/>
      <c r="P11" s="184" t="n"/>
      <c r="Q11" s="184" t="n"/>
      <c r="R11" s="184" t="n"/>
      <c r="S11" s="185" t="n"/>
    </row>
    <row r="12">
      <c r="A12" s="3" t="inlineStr">
        <is>
          <t>Diâmetro da válvula</t>
        </is>
      </c>
      <c r="B12" s="158" t="inlineStr">
        <is>
          <t>-</t>
        </is>
      </c>
      <c r="C12" s="205" t="n"/>
      <c r="D12" s="205" t="n"/>
      <c r="E12" s="205" t="n"/>
      <c r="F12" s="205" t="n"/>
      <c r="G12" s="205" t="n"/>
      <c r="H12" s="3" t="inlineStr">
        <is>
          <t>Conexão elétrica</t>
        </is>
      </c>
      <c r="I12" s="205" t="n"/>
      <c r="J12" s="205" t="n"/>
      <c r="K12" s="205" t="n"/>
      <c r="L12" s="205" t="n"/>
      <c r="M12" s="206" t="n"/>
      <c r="N12" s="224" t="n"/>
      <c r="O12" s="184" t="n"/>
      <c r="P12" s="184" t="n"/>
      <c r="Q12" s="184" t="n"/>
      <c r="R12" s="184" t="n"/>
      <c r="S12" s="185" t="n"/>
    </row>
    <row r="13">
      <c r="A13" s="3" t="inlineStr">
        <is>
          <t>Conexões e faceamento</t>
        </is>
      </c>
      <c r="B13" s="148" t="n"/>
      <c r="C13" s="205" t="n"/>
      <c r="D13" s="205" t="n"/>
      <c r="E13" s="205" t="n"/>
      <c r="F13" s="205" t="n"/>
      <c r="G13" s="205" t="n"/>
      <c r="H13" s="3" t="inlineStr">
        <is>
          <t>Conexão pneumática</t>
        </is>
      </c>
      <c r="I13" s="205" t="n"/>
      <c r="J13" s="205" t="n"/>
      <c r="K13" s="205" t="n"/>
      <c r="L13" s="205" t="n"/>
      <c r="M13" s="206" t="n"/>
      <c r="N13" s="224" t="n"/>
      <c r="O13" s="184" t="n"/>
      <c r="P13" s="184" t="n"/>
      <c r="Q13" s="184" t="n"/>
      <c r="R13" s="184" t="n"/>
      <c r="S13" s="185" t="n"/>
    </row>
    <row r="14">
      <c r="A14" s="3" t="inlineStr">
        <is>
          <t>Castelo</t>
        </is>
      </c>
      <c r="B14" s="148" t="n"/>
      <c r="C14" s="205" t="n"/>
      <c r="D14" s="205" t="n"/>
      <c r="E14" s="205" t="n"/>
      <c r="F14" s="205" t="n"/>
      <c r="G14" s="205" t="n"/>
      <c r="H14" s="3" t="inlineStr">
        <is>
          <t>Classificação da área</t>
        </is>
      </c>
      <c r="I14" s="205" t="n"/>
      <c r="J14" s="205" t="n"/>
      <c r="K14" s="205" t="n"/>
      <c r="L14" s="205" t="n"/>
      <c r="M14" s="206" t="n"/>
      <c r="N14" s="224" t="n"/>
      <c r="O14" s="184" t="n"/>
      <c r="P14" s="184" t="n"/>
      <c r="Q14" s="184" t="n"/>
      <c r="R14" s="184" t="n"/>
      <c r="S14" s="185" t="n"/>
    </row>
    <row r="15" ht="13.8" customHeight="1" thickBot="1">
      <c r="A15" s="16" t="inlineStr">
        <is>
          <t>Classe de vedação</t>
        </is>
      </c>
      <c r="B15" s="150" t="n"/>
      <c r="C15" s="184" t="n"/>
      <c r="D15" s="184" t="n"/>
      <c r="E15" s="184" t="n"/>
      <c r="F15" s="184" t="n"/>
      <c r="G15" s="184" t="n"/>
      <c r="H15" s="6" t="inlineStr">
        <is>
          <t>Classificação do invólucro</t>
        </is>
      </c>
      <c r="I15" s="208" t="n"/>
      <c r="J15" s="208" t="n"/>
      <c r="K15" s="208" t="n"/>
      <c r="L15" s="208" t="n"/>
      <c r="M15" s="209" t="n"/>
      <c r="N15" s="225" t="n"/>
      <c r="O15" s="208" t="n"/>
      <c r="P15" s="208" t="n"/>
      <c r="Q15" s="208" t="n"/>
      <c r="R15" s="208" t="n"/>
      <c r="S15" s="226" t="n"/>
    </row>
    <row r="16" ht="13.8" customHeight="1" thickBot="1">
      <c r="A16" s="220" t="inlineStr">
        <is>
          <t>INTERNOS</t>
        </is>
      </c>
      <c r="B16" s="221" t="n"/>
      <c r="C16" s="221" t="n"/>
      <c r="D16" s="221" t="n"/>
      <c r="E16" s="221" t="n"/>
      <c r="F16" s="221" t="n"/>
      <c r="G16" s="222" t="n"/>
      <c r="H16" s="220" t="inlineStr">
        <is>
          <t>FINS DE CURSO</t>
        </is>
      </c>
      <c r="I16" s="221" t="n"/>
      <c r="J16" s="221" t="n"/>
      <c r="K16" s="221" t="n"/>
      <c r="L16" s="221" t="n"/>
      <c r="M16" s="221" t="n"/>
      <c r="N16" s="221" t="n"/>
      <c r="O16" s="221" t="n"/>
      <c r="P16" s="221" t="n"/>
      <c r="Q16" s="221" t="n"/>
      <c r="R16" s="221" t="n"/>
      <c r="S16" s="222" t="n"/>
      <c r="X16" s="69" t="n"/>
      <c r="Y16" s="69" t="n"/>
      <c r="Z16" s="69" t="n"/>
    </row>
    <row r="17">
      <c r="A17" s="18" t="inlineStr">
        <is>
          <t>Material das gaxetas</t>
        </is>
      </c>
      <c r="B17" s="227" t="n"/>
      <c r="C17" s="212" t="n"/>
      <c r="D17" s="212" t="n"/>
      <c r="E17" s="212" t="n"/>
      <c r="F17" s="212" t="n"/>
      <c r="G17" s="214" t="n"/>
      <c r="H17" s="146" t="inlineStr">
        <is>
          <t>TAG</t>
        </is>
      </c>
      <c r="I17" s="181" t="n"/>
      <c r="J17" s="181" t="n"/>
      <c r="K17" s="181" t="n"/>
      <c r="L17" s="181" t="n"/>
      <c r="M17" s="202" t="n"/>
      <c r="N17" s="228" t="n"/>
      <c r="S17" s="192" t="n"/>
      <c r="X17" s="69" t="n"/>
      <c r="Z17" s="69" t="n"/>
    </row>
    <row r="18">
      <c r="A18" s="3" t="inlineStr">
        <is>
          <t>Sede</t>
        </is>
      </c>
      <c r="B18" s="229" t="n"/>
      <c r="C18" s="205" t="n"/>
      <c r="D18" s="205" t="n"/>
      <c r="E18" s="205" t="n"/>
      <c r="F18" s="205" t="n"/>
      <c r="G18" s="216" t="n"/>
      <c r="H18" s="130" t="inlineStr">
        <is>
          <t>Tipo</t>
        </is>
      </c>
      <c r="I18" s="205" t="n"/>
      <c r="J18" s="205" t="n"/>
      <c r="K18" s="205" t="n"/>
      <c r="L18" s="205" t="n"/>
      <c r="M18" s="206" t="n"/>
      <c r="N18" s="224" t="n"/>
      <c r="O18" s="184" t="n"/>
      <c r="P18" s="184" t="n"/>
      <c r="Q18" s="184" t="n"/>
      <c r="R18" s="184" t="n"/>
      <c r="S18" s="185" t="n"/>
      <c r="X18" s="69" t="n"/>
      <c r="Z18" s="69" t="n"/>
    </row>
    <row r="19">
      <c r="A19" s="5" t="inlineStr">
        <is>
          <t>Material do disco</t>
        </is>
      </c>
      <c r="B19" s="229" t="n"/>
      <c r="C19" s="205" t="n"/>
      <c r="D19" s="205" t="n"/>
      <c r="E19" s="205" t="n"/>
      <c r="F19" s="205" t="n"/>
      <c r="G19" s="216" t="n"/>
      <c r="H19" s="130" t="inlineStr">
        <is>
          <t>Quantidade</t>
        </is>
      </c>
      <c r="I19" s="205" t="n"/>
      <c r="J19" s="205" t="n"/>
      <c r="K19" s="205" t="n"/>
      <c r="L19" s="205" t="n"/>
      <c r="M19" s="206" t="n"/>
      <c r="N19" s="224" t="n"/>
      <c r="O19" s="184" t="n"/>
      <c r="P19" s="184" t="n"/>
      <c r="Q19" s="184" t="n"/>
      <c r="R19" s="184" t="n"/>
      <c r="S19" s="185" t="n"/>
      <c r="X19" s="69" t="n"/>
      <c r="Z19" s="69" t="n"/>
    </row>
    <row r="20">
      <c r="A20" s="5" t="inlineStr">
        <is>
          <t>Material da haste</t>
        </is>
      </c>
      <c r="B20" s="229" t="n"/>
      <c r="C20" s="205" t="n"/>
      <c r="D20" s="205" t="n"/>
      <c r="E20" s="205" t="n"/>
      <c r="F20" s="205" t="n"/>
      <c r="G20" s="216" t="n"/>
      <c r="H20" s="130" t="inlineStr">
        <is>
          <t>Tipo dos contatos</t>
        </is>
      </c>
      <c r="I20" s="205" t="n"/>
      <c r="J20" s="205" t="n"/>
      <c r="K20" s="205" t="n"/>
      <c r="L20" s="205" t="n"/>
      <c r="M20" s="206" t="n"/>
      <c r="N20" s="224" t="n"/>
      <c r="O20" s="184" t="n"/>
      <c r="P20" s="184" t="n"/>
      <c r="Q20" s="184" t="n"/>
      <c r="R20" s="184" t="n"/>
      <c r="S20" s="185" t="n"/>
      <c r="X20" s="69" t="n"/>
      <c r="Z20" s="69" t="n"/>
    </row>
    <row r="21">
      <c r="A21" s="3" t="inlineStr">
        <is>
          <t>Obturador balanceado</t>
        </is>
      </c>
      <c r="B21" s="229" t="n"/>
      <c r="C21" s="205" t="n"/>
      <c r="D21" s="205" t="n"/>
      <c r="E21" s="205" t="n"/>
      <c r="F21" s="205" t="n"/>
      <c r="G21" s="216" t="n"/>
      <c r="H21" s="130" t="inlineStr">
        <is>
          <t>Conexão elétrica</t>
        </is>
      </c>
      <c r="I21" s="205" t="n"/>
      <c r="J21" s="205" t="n"/>
      <c r="K21" s="205" t="n"/>
      <c r="L21" s="205" t="n"/>
      <c r="M21" s="206" t="n"/>
      <c r="N21" s="224" t="n"/>
      <c r="O21" s="184" t="n"/>
      <c r="P21" s="184" t="n"/>
      <c r="Q21" s="184" t="n"/>
      <c r="R21" s="184" t="n"/>
      <c r="S21" s="185" t="n"/>
      <c r="X21" s="69" t="n"/>
      <c r="Z21" s="69" t="n"/>
    </row>
    <row r="22">
      <c r="A22" s="3" t="inlineStr">
        <is>
          <t>Direção do fluxo</t>
        </is>
      </c>
      <c r="B22" s="229" t="n"/>
      <c r="C22" s="205" t="n"/>
      <c r="D22" s="205" t="n"/>
      <c r="E22" s="205" t="n"/>
      <c r="F22" s="205" t="n"/>
      <c r="G22" s="216" t="n"/>
      <c r="H22" s="130" t="inlineStr">
        <is>
          <t>Classificação de área</t>
        </is>
      </c>
      <c r="I22" s="205" t="n"/>
      <c r="J22" s="205" t="n"/>
      <c r="K22" s="205" t="n"/>
      <c r="L22" s="205" t="n"/>
      <c r="M22" s="206" t="n"/>
      <c r="N22" s="224" t="n"/>
      <c r="O22" s="184" t="n"/>
      <c r="P22" s="184" t="n"/>
      <c r="Q22" s="184" t="n"/>
      <c r="R22" s="184" t="n"/>
      <c r="S22" s="185" t="n"/>
      <c r="X22" s="69" t="n"/>
      <c r="Z22" s="69" t="n"/>
    </row>
    <row r="23" ht="13.8" customHeight="1" thickBot="1">
      <c r="A23" s="6" t="inlineStr">
        <is>
          <t>Guias</t>
        </is>
      </c>
      <c r="B23" s="230" t="n"/>
      <c r="C23" s="208" t="n"/>
      <c r="D23" s="208" t="n"/>
      <c r="E23" s="208" t="n"/>
      <c r="F23" s="208" t="n"/>
      <c r="G23" s="226" t="n"/>
      <c r="H23" s="147" t="inlineStr">
        <is>
          <t>Classificação do invólucro</t>
        </is>
      </c>
      <c r="I23" s="184" t="n"/>
      <c r="J23" s="184" t="n"/>
      <c r="K23" s="184" t="n"/>
      <c r="L23" s="184" t="n"/>
      <c r="M23" s="231" t="n"/>
      <c r="N23" s="224" t="n"/>
      <c r="O23" s="184" t="n"/>
      <c r="P23" s="184" t="n"/>
      <c r="Q23" s="184" t="n"/>
      <c r="R23" s="184" t="n"/>
      <c r="S23" s="185" t="n"/>
      <c r="X23" s="69" t="n"/>
      <c r="Z23" s="69" t="n"/>
    </row>
    <row r="24" ht="13.8" customHeight="1" thickBot="1">
      <c r="A24" s="220" t="inlineStr">
        <is>
          <t>ATUADOR</t>
        </is>
      </c>
      <c r="B24" s="221" t="n"/>
      <c r="C24" s="221" t="n"/>
      <c r="D24" s="221" t="n"/>
      <c r="E24" s="221" t="n"/>
      <c r="F24" s="221" t="n"/>
      <c r="G24" s="222" t="n"/>
      <c r="H24" s="220" t="inlineStr">
        <is>
          <t>DADOS DE PROCESSO</t>
        </is>
      </c>
      <c r="I24" s="221" t="n"/>
      <c r="J24" s="221" t="n"/>
      <c r="K24" s="221" t="n"/>
      <c r="L24" s="221" t="n"/>
      <c r="M24" s="221" t="n"/>
      <c r="N24" s="221" t="n"/>
      <c r="O24" s="221" t="n"/>
      <c r="P24" s="221" t="n"/>
      <c r="Q24" s="221" t="n"/>
      <c r="R24" s="221" t="n"/>
      <c r="S24" s="222" t="n"/>
    </row>
    <row r="25">
      <c r="A25" s="17" t="inlineStr">
        <is>
          <t>Tipo</t>
        </is>
      </c>
      <c r="B25" s="152" t="n"/>
      <c r="C25" s="181" t="n"/>
      <c r="D25" s="181" t="n"/>
      <c r="E25" s="181" t="n"/>
      <c r="F25" s="181" t="n"/>
      <c r="G25" s="181" t="n"/>
      <c r="H25" s="18" t="inlineStr">
        <is>
          <t>Fluido</t>
        </is>
      </c>
      <c r="I25" s="212" t="n"/>
      <c r="J25" s="212" t="n"/>
      <c r="K25" s="212" t="n"/>
      <c r="L25" s="212" t="n"/>
      <c r="M25" s="213" t="n"/>
      <c r="N25" s="232" t="inlineStr">
        <is>
          <t>BICICLOPIRONA EM PÓ</t>
        </is>
      </c>
      <c r="O25" s="173" t="n"/>
      <c r="P25" s="173" t="n"/>
      <c r="Q25" s="173" t="n"/>
      <c r="R25" s="173" t="n"/>
      <c r="S25" s="177" t="n"/>
    </row>
    <row r="26">
      <c r="A26" s="3" t="inlineStr">
        <is>
          <t>Range</t>
        </is>
      </c>
      <c r="B26" s="148" t="n"/>
      <c r="C26" s="205" t="n"/>
      <c r="D26" s="205" t="n"/>
      <c r="E26" s="205" t="n"/>
      <c r="F26" s="205" t="n"/>
      <c r="G26" s="205" t="n"/>
      <c r="H26" s="3" t="inlineStr">
        <is>
          <t>Estado físico</t>
        </is>
      </c>
      <c r="I26" s="205" t="n"/>
      <c r="J26" s="205" t="n"/>
      <c r="K26" s="205" t="n"/>
      <c r="L26" s="205" t="n"/>
      <c r="M26" s="206" t="n"/>
      <c r="N26" s="233" t="n"/>
      <c r="O26" s="184" t="n"/>
      <c r="P26" s="184" t="n"/>
      <c r="Q26" s="184" t="n"/>
      <c r="R26" s="184" t="n"/>
      <c r="S26" s="185" t="n"/>
    </row>
    <row r="27">
      <c r="A27" s="3" t="inlineStr">
        <is>
          <t>Volante</t>
        </is>
      </c>
      <c r="B27" s="148" t="n"/>
      <c r="C27" s="205" t="n"/>
      <c r="D27" s="205" t="n"/>
      <c r="E27" s="205" t="n"/>
      <c r="F27" s="205" t="n"/>
      <c r="G27" s="205" t="n"/>
      <c r="H27" s="3" t="inlineStr">
        <is>
          <t>Pressão de entrada</t>
        </is>
      </c>
      <c r="I27" s="205" t="n"/>
      <c r="J27" s="205" t="n"/>
      <c r="K27" s="205" t="n"/>
      <c r="L27" s="205" t="n"/>
      <c r="M27" s="206" t="n"/>
      <c r="N27" s="233" t="inlineStr">
        <is>
          <t>-</t>
        </is>
      </c>
      <c r="O27" s="184" t="n"/>
      <c r="P27" s="184" t="n"/>
      <c r="Q27" s="184" t="n"/>
      <c r="R27" s="184" t="n"/>
      <c r="S27" s="185" t="n"/>
    </row>
    <row r="28">
      <c r="A28" s="3" t="inlineStr">
        <is>
          <t>Ação em caso de falha</t>
        </is>
      </c>
      <c r="B28" s="148" t="n"/>
      <c r="C28" s="205" t="n"/>
      <c r="D28" s="205" t="n"/>
      <c r="E28" s="205" t="n"/>
      <c r="F28" s="205" t="n"/>
      <c r="G28" s="205" t="n"/>
      <c r="H28" s="3" t="inlineStr">
        <is>
          <t>Pressão de saída</t>
        </is>
      </c>
      <c r="I28" s="205" t="n"/>
      <c r="J28" s="205" t="n"/>
      <c r="K28" s="205" t="n"/>
      <c r="L28" s="205" t="n"/>
      <c r="M28" s="206" t="n"/>
      <c r="N28" s="233" t="n"/>
      <c r="O28" s="184" t="n"/>
      <c r="P28" s="184" t="n"/>
      <c r="Q28" s="184" t="n"/>
      <c r="R28" s="184" t="n"/>
      <c r="S28" s="185" t="n"/>
    </row>
    <row r="29" ht="13.8" customHeight="1" thickBot="1">
      <c r="A29" s="16" t="inlineStr">
        <is>
          <t>Pressão suprimento de ar (min/max)</t>
        </is>
      </c>
      <c r="B29" s="150" t="n"/>
      <c r="C29" s="184" t="n"/>
      <c r="D29" s="184" t="n"/>
      <c r="E29" s="184" t="n"/>
      <c r="F29" s="184" t="n"/>
      <c r="G29" s="184" t="n"/>
      <c r="H29" s="3" t="inlineStr">
        <is>
          <t>Viscosidade</t>
        </is>
      </c>
      <c r="I29" s="205" t="n"/>
      <c r="J29" s="205" t="n"/>
      <c r="K29" s="205" t="n"/>
      <c r="L29" s="205" t="n"/>
      <c r="M29" s="206" t="n"/>
      <c r="N29" s="233" t="inlineStr">
        <is>
          <t>-</t>
        </is>
      </c>
      <c r="O29" s="184" t="n"/>
      <c r="P29" s="184" t="n"/>
      <c r="Q29" s="184" t="n"/>
      <c r="R29" s="184" t="n"/>
      <c r="S29" s="185" t="n"/>
    </row>
    <row r="30" ht="13.8" customHeight="1" thickBot="1">
      <c r="A30" s="142" t="inlineStr">
        <is>
          <t>POSICIONADOR</t>
        </is>
      </c>
      <c r="B30" s="221" t="n"/>
      <c r="C30" s="221" t="n"/>
      <c r="D30" s="221" t="n"/>
      <c r="E30" s="221" t="n"/>
      <c r="F30" s="221" t="n"/>
      <c r="G30" s="221" t="n"/>
      <c r="H30" s="3" t="inlineStr">
        <is>
          <t>Vazão normal</t>
        </is>
      </c>
      <c r="I30" s="205" t="n"/>
      <c r="J30" s="205" t="n"/>
      <c r="K30" s="205" t="n"/>
      <c r="L30" s="205" t="n"/>
      <c r="M30" s="206" t="n"/>
      <c r="N30" s="233" t="n"/>
      <c r="O30" s="184" t="n"/>
      <c r="P30" s="184" t="n"/>
      <c r="Q30" s="184" t="n"/>
      <c r="R30" s="184" t="n"/>
      <c r="S30" s="185" t="n"/>
    </row>
    <row r="31">
      <c r="A31" s="17" t="inlineStr">
        <is>
          <t>Tipo</t>
        </is>
      </c>
      <c r="B31" s="152" t="n"/>
      <c r="C31" s="181" t="n"/>
      <c r="D31" s="181" t="n"/>
      <c r="E31" s="181" t="n"/>
      <c r="F31" s="181" t="n"/>
      <c r="G31" s="181" t="n"/>
      <c r="H31" s="3" t="inlineStr">
        <is>
          <t>Vazão máxima</t>
        </is>
      </c>
      <c r="I31" s="205" t="n"/>
      <c r="J31" s="205" t="n"/>
      <c r="K31" s="205" t="n"/>
      <c r="L31" s="205" t="n"/>
      <c r="M31" s="206" t="n"/>
      <c r="N31" s="233" t="n"/>
      <c r="O31" s="184" t="n"/>
      <c r="P31" s="184" t="n"/>
      <c r="Q31" s="184" t="n"/>
      <c r="R31" s="184" t="n"/>
      <c r="S31" s="185" t="n"/>
    </row>
    <row r="32">
      <c r="A32" s="3" t="inlineStr">
        <is>
          <t>By-pass</t>
        </is>
      </c>
      <c r="B32" s="148" t="n"/>
      <c r="C32" s="205" t="n"/>
      <c r="D32" s="205" t="n"/>
      <c r="E32" s="205" t="n"/>
      <c r="F32" s="205" t="n"/>
      <c r="G32" s="205" t="n"/>
      <c r="H32" s="3" t="inlineStr">
        <is>
          <t>Vazão mínima</t>
        </is>
      </c>
      <c r="I32" s="205" t="n"/>
      <c r="J32" s="205" t="n"/>
      <c r="K32" s="205" t="n"/>
      <c r="L32" s="205" t="n"/>
      <c r="M32" s="206" t="n"/>
      <c r="N32" s="233" t="n"/>
      <c r="O32" s="184" t="n"/>
      <c r="P32" s="184" t="n"/>
      <c r="Q32" s="184" t="n"/>
      <c r="R32" s="184" t="n"/>
      <c r="S32" s="185" t="n"/>
    </row>
    <row r="33">
      <c r="A33" s="3" t="inlineStr">
        <is>
          <t>Manômetros quantidade</t>
        </is>
      </c>
      <c r="B33" s="148" t="n"/>
      <c r="C33" s="205" t="n"/>
      <c r="D33" s="205" t="n"/>
      <c r="E33" s="205" t="n"/>
      <c r="F33" s="205" t="n"/>
      <c r="G33" s="205" t="n"/>
      <c r="H33" s="3" t="inlineStr">
        <is>
          <t>Pressão shut off</t>
        </is>
      </c>
      <c r="I33" s="205" t="n"/>
      <c r="J33" s="205" t="n"/>
      <c r="K33" s="205" t="n"/>
      <c r="L33" s="205" t="n"/>
      <c r="M33" s="206" t="n"/>
      <c r="N33" s="233" t="n"/>
      <c r="O33" s="184" t="n"/>
      <c r="P33" s="184" t="n"/>
      <c r="Q33" s="184" t="n"/>
      <c r="R33" s="184" t="n"/>
      <c r="S33" s="185" t="n"/>
    </row>
    <row r="34">
      <c r="A34" s="3" t="inlineStr">
        <is>
          <t>Sinal de entrada</t>
        </is>
      </c>
      <c r="B34" s="148" t="n"/>
      <c r="C34" s="205" t="n"/>
      <c r="D34" s="205" t="n"/>
      <c r="E34" s="205" t="n"/>
      <c r="F34" s="205" t="n"/>
      <c r="G34" s="205" t="n"/>
      <c r="H34" s="3" t="inlineStr">
        <is>
          <t>Temperatura máxima</t>
        </is>
      </c>
      <c r="I34" s="205" t="n"/>
      <c r="J34" s="205" t="n"/>
      <c r="K34" s="205" t="n"/>
      <c r="L34" s="205" t="n"/>
      <c r="M34" s="206" t="n"/>
      <c r="N34" s="233" t="inlineStr">
        <is>
          <t>35</t>
        </is>
      </c>
      <c r="O34" s="184" t="n"/>
      <c r="P34" s="184" t="n"/>
      <c r="Q34" s="184" t="n"/>
      <c r="R34" s="184" t="n"/>
      <c r="S34" s="185" t="n"/>
    </row>
    <row r="35">
      <c r="A35" s="3" t="inlineStr">
        <is>
          <t>Sial de saída</t>
        </is>
      </c>
      <c r="B35" s="148" t="n"/>
      <c r="C35" s="205" t="n"/>
      <c r="D35" s="205" t="n"/>
      <c r="E35" s="205" t="n"/>
      <c r="F35" s="205" t="n"/>
      <c r="G35" s="205" t="n"/>
      <c r="H35" s="3" t="inlineStr">
        <is>
          <t>Temperatura normal</t>
        </is>
      </c>
      <c r="I35" s="205" t="n"/>
      <c r="J35" s="205" t="n"/>
      <c r="K35" s="205" t="n"/>
      <c r="L35" s="205" t="n"/>
      <c r="M35" s="206" t="n"/>
      <c r="N35" s="233" t="n"/>
      <c r="O35" s="184" t="n"/>
      <c r="P35" s="184" t="n"/>
      <c r="Q35" s="184" t="n"/>
      <c r="R35" s="184" t="n"/>
      <c r="S35" s="185" t="n"/>
    </row>
    <row r="36">
      <c r="A36" s="3" t="inlineStr">
        <is>
          <t>Característica do came</t>
        </is>
      </c>
      <c r="B36" s="148" t="n"/>
      <c r="C36" s="205" t="n"/>
      <c r="D36" s="205" t="n"/>
      <c r="E36" s="205" t="n"/>
      <c r="F36" s="205" t="n"/>
      <c r="G36" s="205" t="n"/>
      <c r="H36" s="3" t="inlineStr">
        <is>
          <t>Massa específica</t>
        </is>
      </c>
      <c r="I36" s="205" t="n"/>
      <c r="J36" s="205" t="n"/>
      <c r="K36" s="205" t="n"/>
      <c r="L36" s="205" t="n"/>
      <c r="M36" s="206" t="n"/>
      <c r="N36" s="233" t="inlineStr">
        <is>
          <t>-</t>
        </is>
      </c>
      <c r="O36" s="184" t="n"/>
      <c r="P36" s="184" t="n"/>
      <c r="Q36" s="184" t="n"/>
      <c r="R36" s="184" t="n"/>
      <c r="S36" s="185" t="n"/>
    </row>
    <row r="37" ht="13.8" customHeight="1" thickBot="1">
      <c r="A37" s="16" t="inlineStr">
        <is>
          <t>Alimentação de ar</t>
        </is>
      </c>
      <c r="B37" s="150" t="n"/>
      <c r="C37" s="184" t="n"/>
      <c r="D37" s="184" t="n"/>
      <c r="E37" s="184" t="n"/>
      <c r="F37" s="184" t="n"/>
      <c r="G37" s="184" t="n"/>
      <c r="H37" s="3" t="inlineStr">
        <is>
          <t>Cv calculado (máximo) / % abertura</t>
        </is>
      </c>
      <c r="I37" s="205" t="n"/>
      <c r="J37" s="205" t="n"/>
      <c r="K37" s="205" t="n"/>
      <c r="L37" s="205" t="n"/>
      <c r="M37" s="206" t="n"/>
      <c r="N37" s="224" t="n"/>
      <c r="O37" s="184" t="n"/>
      <c r="P37" s="184" t="n"/>
      <c r="Q37" s="184" t="n"/>
      <c r="R37" s="184" t="n"/>
      <c r="S37" s="185" t="n"/>
    </row>
    <row r="38" ht="13.8" customHeight="1" thickBot="1">
      <c r="A38" s="142" t="inlineStr">
        <is>
          <t>ACESSÓRIOS</t>
        </is>
      </c>
      <c r="B38" s="221" t="n"/>
      <c r="C38" s="221" t="n"/>
      <c r="D38" s="221" t="n"/>
      <c r="E38" s="221" t="n"/>
      <c r="F38" s="221" t="n"/>
      <c r="G38" s="221" t="n"/>
      <c r="H38" s="3" t="inlineStr">
        <is>
          <t>Cv calculado (normal) / % abertura</t>
        </is>
      </c>
      <c r="I38" s="205" t="n"/>
      <c r="J38" s="205" t="n"/>
      <c r="K38" s="205" t="n"/>
      <c r="L38" s="205" t="n"/>
      <c r="M38" s="206" t="n"/>
      <c r="N38" s="224" t="n"/>
      <c r="O38" s="184" t="n"/>
      <c r="P38" s="184" t="n"/>
      <c r="Q38" s="184" t="n"/>
      <c r="R38" s="184" t="n"/>
      <c r="S38" s="185" t="n"/>
    </row>
    <row r="39">
      <c r="A39" s="17" t="inlineStr">
        <is>
          <t>Filtro / Filtro regulador</t>
        </is>
      </c>
      <c r="B39" s="152" t="n"/>
      <c r="C39" s="181" t="n"/>
      <c r="D39" s="181" t="n"/>
      <c r="E39" s="181" t="n"/>
      <c r="F39" s="181" t="n"/>
      <c r="G39" s="181" t="n"/>
      <c r="H39" s="3" t="inlineStr">
        <is>
          <t>Cv calculado (mínimo) / % abertura</t>
        </is>
      </c>
      <c r="I39" s="205" t="n"/>
      <c r="J39" s="205" t="n"/>
      <c r="K39" s="205" t="n"/>
      <c r="L39" s="205" t="n"/>
      <c r="M39" s="206" t="n"/>
      <c r="N39" s="224" t="n"/>
      <c r="O39" s="184" t="n"/>
      <c r="P39" s="184" t="n"/>
      <c r="Q39" s="184" t="n"/>
      <c r="R39" s="184" t="n"/>
      <c r="S39" s="185" t="n"/>
    </row>
    <row r="40">
      <c r="A40" s="3" t="inlineStr">
        <is>
          <t>Manômetro para o regulador</t>
        </is>
      </c>
      <c r="B40" s="148" t="n"/>
      <c r="C40" s="205" t="n"/>
      <c r="D40" s="205" t="n"/>
      <c r="E40" s="205" t="n"/>
      <c r="F40" s="205" t="n"/>
      <c r="G40" s="205" t="n"/>
      <c r="H40" s="3" t="inlineStr">
        <is>
          <t>Cv selecionado</t>
        </is>
      </c>
      <c r="I40" s="205" t="n"/>
      <c r="J40" s="205" t="n"/>
      <c r="K40" s="205" t="n"/>
      <c r="L40" s="205" t="n"/>
      <c r="M40" s="206" t="n"/>
      <c r="N40" s="224" t="n"/>
      <c r="O40" s="184" t="n"/>
      <c r="P40" s="184" t="n"/>
      <c r="Q40" s="184" t="n"/>
      <c r="R40" s="184" t="n"/>
      <c r="S40" s="185" t="n"/>
    </row>
    <row r="41" ht="13.8" customHeight="1" thickBot="1">
      <c r="A41" s="6" t="inlineStr">
        <is>
          <t>Posição do volante</t>
        </is>
      </c>
      <c r="B41" s="154" t="n"/>
      <c r="C41" s="208" t="n"/>
      <c r="D41" s="208" t="n"/>
      <c r="E41" s="208" t="n"/>
      <c r="F41" s="208" t="n"/>
      <c r="G41" s="208" t="n"/>
      <c r="H41" s="6" t="inlineStr">
        <is>
          <t>Nível de ruído</t>
        </is>
      </c>
      <c r="I41" s="208" t="n"/>
      <c r="J41" s="208" t="n"/>
      <c r="K41" s="208" t="n"/>
      <c r="L41" s="208" t="n"/>
      <c r="M41" s="209" t="n"/>
      <c r="N41" s="225" t="n"/>
      <c r="O41" s="208" t="n"/>
      <c r="P41" s="208" t="n"/>
      <c r="Q41" s="208" t="n"/>
      <c r="R41" s="208" t="n"/>
      <c r="S41" s="226" t="n"/>
    </row>
    <row r="42">
      <c r="A42" s="234" t="inlineStr">
        <is>
          <t>Notas:</t>
        </is>
      </c>
      <c r="B42" s="173" t="n"/>
      <c r="C42" s="173" t="n"/>
      <c r="D42" s="173" t="n"/>
      <c r="E42" s="173" t="n"/>
      <c r="F42" s="173" t="n"/>
      <c r="G42" s="173" t="n"/>
      <c r="H42" s="173" t="n"/>
      <c r="I42" s="173" t="n"/>
      <c r="J42" s="173" t="n"/>
      <c r="K42" s="173" t="n"/>
      <c r="L42" s="173" t="n"/>
      <c r="M42" s="173" t="n"/>
      <c r="N42" s="173" t="n"/>
      <c r="O42" s="173" t="n"/>
      <c r="P42" s="173" t="n"/>
      <c r="Q42" s="173" t="n"/>
      <c r="R42" s="173" t="n"/>
      <c r="S42" s="177" t="n"/>
    </row>
    <row r="43" ht="13.8" customHeight="1" thickBot="1">
      <c r="A43" s="235" t="inlineStr">
        <is>
          <t>-</t>
        </is>
      </c>
      <c r="B43" s="197" t="n"/>
      <c r="C43" s="197" t="n"/>
      <c r="D43" s="197" t="n"/>
      <c r="E43" s="197" t="n"/>
      <c r="F43" s="197" t="n"/>
      <c r="G43" s="197" t="n"/>
      <c r="H43" s="197" t="n"/>
      <c r="I43" s="197" t="n"/>
      <c r="J43" s="197" t="n"/>
      <c r="K43" s="197" t="n"/>
      <c r="L43" s="197" t="n"/>
      <c r="M43" s="197" t="n"/>
      <c r="N43" s="197" t="n"/>
      <c r="O43" s="197" t="n"/>
      <c r="P43" s="197" t="n"/>
      <c r="Q43" s="197" t="n"/>
      <c r="R43" s="197" t="n"/>
      <c r="S43" s="199" t="n"/>
    </row>
    <row r="44">
      <c r="A44" s="7" t="n"/>
    </row>
    <row r="45">
      <c r="A45" s="2" t="n"/>
    </row>
    <row r="46">
      <c r="A46" s="2" t="n"/>
    </row>
    <row r="47">
      <c r="A47" s="2" t="n"/>
    </row>
    <row r="48">
      <c r="A48" s="2" t="n"/>
    </row>
    <row r="49">
      <c r="A49" s="2" t="n"/>
    </row>
    <row r="50">
      <c r="A50" s="2" t="n"/>
    </row>
    <row r="51">
      <c r="A51" s="2" t="n"/>
    </row>
    <row r="52">
      <c r="A52" s="2" t="n"/>
    </row>
    <row r="53">
      <c r="A53" s="2" t="n"/>
    </row>
    <row r="54">
      <c r="A54" s="2" t="n"/>
    </row>
  </sheetData>
  <mergeCells count="116">
    <mergeCell ref="H21:M21"/>
    <mergeCell ref="N23:S23"/>
    <mergeCell ref="B8:G8"/>
    <mergeCell ref="N18:S18"/>
    <mergeCell ref="A1:A4"/>
    <mergeCell ref="N8:S8"/>
    <mergeCell ref="H7:M7"/>
    <mergeCell ref="B10:G10"/>
    <mergeCell ref="N10:S10"/>
    <mergeCell ref="A30:G30"/>
    <mergeCell ref="H27:M27"/>
    <mergeCell ref="N34:S34"/>
    <mergeCell ref="H33:M33"/>
    <mergeCell ref="B36:G36"/>
    <mergeCell ref="N27:S27"/>
    <mergeCell ref="H5:S5"/>
    <mergeCell ref="N36:S36"/>
    <mergeCell ref="H35:M35"/>
    <mergeCell ref="N11:S11"/>
    <mergeCell ref="N20:S20"/>
    <mergeCell ref="B22:G22"/>
    <mergeCell ref="B31:G31"/>
    <mergeCell ref="N22:S22"/>
    <mergeCell ref="H9:M9"/>
    <mergeCell ref="B12:G12"/>
    <mergeCell ref="H39:M39"/>
    <mergeCell ref="B21:G21"/>
    <mergeCell ref="B39:G39"/>
    <mergeCell ref="N12:S12"/>
    <mergeCell ref="N21:S21"/>
    <mergeCell ref="B14:G14"/>
    <mergeCell ref="B23:G23"/>
    <mergeCell ref="N14:S14"/>
    <mergeCell ref="B13:G13"/>
    <mergeCell ref="A43:S43"/>
    <mergeCell ref="N38:S38"/>
    <mergeCell ref="H16:S16"/>
    <mergeCell ref="H32:M32"/>
    <mergeCell ref="H13:M13"/>
    <mergeCell ref="N40:S40"/>
    <mergeCell ref="B33:G33"/>
    <mergeCell ref="H15:M15"/>
    <mergeCell ref="H18:M18"/>
    <mergeCell ref="B41:G41"/>
    <mergeCell ref="B35:G35"/>
    <mergeCell ref="C2:S2"/>
    <mergeCell ref="H8:M8"/>
    <mergeCell ref="N26:S26"/>
    <mergeCell ref="N35:S35"/>
    <mergeCell ref="H26:M26"/>
    <mergeCell ref="B25:G25"/>
    <mergeCell ref="N25:S25"/>
    <mergeCell ref="H10:M10"/>
    <mergeCell ref="H41:M41"/>
    <mergeCell ref="B27:G27"/>
    <mergeCell ref="H34:M34"/>
    <mergeCell ref="H25:M25"/>
    <mergeCell ref="B11:G11"/>
    <mergeCell ref="A5:G5"/>
    <mergeCell ref="A42:S42"/>
    <mergeCell ref="H36:M36"/>
    <mergeCell ref="A38:G38"/>
    <mergeCell ref="H17:M17"/>
    <mergeCell ref="N39:S39"/>
    <mergeCell ref="H11:M11"/>
    <mergeCell ref="B29:G29"/>
    <mergeCell ref="N29:S29"/>
    <mergeCell ref="H19:M19"/>
    <mergeCell ref="H28:M28"/>
    <mergeCell ref="H37:M37"/>
    <mergeCell ref="A24:G24"/>
    <mergeCell ref="N13:S13"/>
    <mergeCell ref="B40:G40"/>
    <mergeCell ref="H12:M12"/>
    <mergeCell ref="N31:S31"/>
    <mergeCell ref="B15:G15"/>
    <mergeCell ref="J1:S1"/>
    <mergeCell ref="N6:S6"/>
    <mergeCell ref="N15:S15"/>
    <mergeCell ref="H24:S24"/>
    <mergeCell ref="H14:M14"/>
    <mergeCell ref="B32:G32"/>
    <mergeCell ref="H23:M23"/>
    <mergeCell ref="A16:G16"/>
    <mergeCell ref="B26:G26"/>
    <mergeCell ref="Y16:Y23"/>
    <mergeCell ref="B7:G7"/>
    <mergeCell ref="H38:M38"/>
    <mergeCell ref="N32:S32"/>
    <mergeCell ref="N7:S7"/>
    <mergeCell ref="N41:S41"/>
    <mergeCell ref="H40:M40"/>
    <mergeCell ref="B18:G18"/>
    <mergeCell ref="N33:S33"/>
    <mergeCell ref="B17:G17"/>
    <mergeCell ref="N17:S17"/>
    <mergeCell ref="B19:G19"/>
    <mergeCell ref="B34:G34"/>
    <mergeCell ref="B28:G28"/>
    <mergeCell ref="B37:G37"/>
    <mergeCell ref="N19:S19"/>
    <mergeCell ref="H22:M22"/>
    <mergeCell ref="B9:G9"/>
    <mergeCell ref="N28:S28"/>
    <mergeCell ref="N9:S9"/>
    <mergeCell ref="B6:G6"/>
    <mergeCell ref="B20:G20"/>
    <mergeCell ref="N30:S30"/>
    <mergeCell ref="B3:S4"/>
    <mergeCell ref="H30:M30"/>
    <mergeCell ref="H20:M20"/>
    <mergeCell ref="H29:M29"/>
    <mergeCell ref="B1:H1"/>
    <mergeCell ref="N37:S37"/>
    <mergeCell ref="H31:M31"/>
    <mergeCell ref="H6:M6"/>
  </mergeCells>
  <pageMargins left="0.25" right="0.25" top="0.75" bottom="0.75" header="0.3" footer="0.3"/>
  <pageSetup orientation="portrait" paperSize="9" scale="82"/>
</worksheet>
</file>

<file path=xl/worksheets/sheet6.xml><?xml version="1.0" encoding="utf-8"?>
<worksheet xmlns="http://schemas.openxmlformats.org/spreadsheetml/2006/main">
  <sheetPr codeName="Planilha2">
    <outlinePr summaryBelow="1" summaryRight="1"/>
    <pageSetUpPr fitToPage="1"/>
  </sheetPr>
  <dimension ref="A1:Z54"/>
  <sheetViews>
    <sheetView workbookViewId="0">
      <selection activeCell="A1" sqref="A1"/>
    </sheetView>
  </sheetViews>
  <sheetFormatPr baseColWidth="8" defaultRowHeight="13.2"/>
  <cols>
    <col width="35.109375" bestFit="1" customWidth="1" style="137" min="1" max="1"/>
    <col width="4.88671875" customWidth="1" style="137" min="2" max="19"/>
  </cols>
  <sheetData>
    <row r="1" ht="14.25" customHeight="1">
      <c r="A1" s="210">
        <f>_xlfn.IMAGE("https://technikgrupo.sharepoint.com/sites/transfer/Logos/Technik.png")</f>
        <v/>
      </c>
      <c r="B1" s="211" t="inlineStr">
        <is>
          <t>FOLHA DE DADOS</t>
        </is>
      </c>
      <c r="C1" s="212" t="n"/>
      <c r="D1" s="212" t="n"/>
      <c r="E1" s="212" t="n"/>
      <c r="F1" s="212" t="n"/>
      <c r="G1" s="212" t="n"/>
      <c r="H1" s="213" t="n"/>
      <c r="I1" s="19" t="inlineStr">
        <is>
          <t>Nº.:</t>
        </is>
      </c>
      <c r="J1" s="166">
        <f>"FD-"&amp;Config!D2&amp;"-"&amp;Config!F2&amp;"-001"</f>
        <v/>
      </c>
      <c r="K1" s="212" t="n"/>
      <c r="L1" s="212" t="n"/>
      <c r="M1" s="212" t="n"/>
      <c r="N1" s="212" t="n"/>
      <c r="O1" s="212" t="n"/>
      <c r="P1" s="212" t="n"/>
      <c r="Q1" s="212" t="n"/>
      <c r="R1" s="212" t="n"/>
      <c r="S1" s="214" t="n"/>
    </row>
    <row r="2" ht="14.25" customHeight="1">
      <c r="A2" s="215" t="n"/>
      <c r="B2" s="20" t="inlineStr">
        <is>
          <t>ÁREA:</t>
        </is>
      </c>
      <c r="C2" s="164" t="inlineStr">
        <is>
          <t>PÁTIO D3</t>
        </is>
      </c>
      <c r="D2" s="205" t="n"/>
      <c r="E2" s="205" t="n"/>
      <c r="F2" s="205" t="n"/>
      <c r="G2" s="205" t="n"/>
      <c r="H2" s="205" t="n"/>
      <c r="I2" s="205" t="n"/>
      <c r="J2" s="205" t="n"/>
      <c r="K2" s="205" t="n"/>
      <c r="L2" s="205" t="n"/>
      <c r="M2" s="205" t="n"/>
      <c r="N2" s="205" t="n"/>
      <c r="O2" s="205" t="n"/>
      <c r="P2" s="205" t="n"/>
      <c r="Q2" s="205" t="n"/>
      <c r="R2" s="205" t="n"/>
      <c r="S2" s="216" t="n"/>
    </row>
    <row r="3" ht="14.25" customHeight="1">
      <c r="A3" s="215" t="n"/>
      <c r="B3" s="217" t="inlineStr">
        <is>
          <t>VÁLVULA ON OFF</t>
        </is>
      </c>
      <c r="C3" s="184" t="n"/>
      <c r="D3" s="184" t="n"/>
      <c r="E3" s="184" t="n"/>
      <c r="F3" s="184" t="n"/>
      <c r="G3" s="184" t="n"/>
      <c r="H3" s="184" t="n"/>
      <c r="I3" s="184" t="n"/>
      <c r="J3" s="184" t="n"/>
      <c r="K3" s="184" t="n"/>
      <c r="L3" s="184" t="n"/>
      <c r="M3" s="184" t="n"/>
      <c r="N3" s="184" t="n"/>
      <c r="O3" s="184" t="n"/>
      <c r="P3" s="184" t="n"/>
      <c r="Q3" s="184" t="n"/>
      <c r="R3" s="184" t="n"/>
      <c r="S3" s="185" t="n"/>
    </row>
    <row r="4" ht="14.25" customHeight="1" thickBot="1">
      <c r="A4" s="218" t="n"/>
      <c r="B4" s="219" t="n"/>
      <c r="C4" s="197" t="n"/>
      <c r="D4" s="197" t="n"/>
      <c r="E4" s="197" t="n"/>
      <c r="F4" s="197" t="n"/>
      <c r="G4" s="197" t="n"/>
      <c r="H4" s="197" t="n"/>
      <c r="I4" s="197" t="n"/>
      <c r="J4" s="197" t="n"/>
      <c r="K4" s="197" t="n"/>
      <c r="L4" s="197" t="n"/>
      <c r="M4" s="197" t="n"/>
      <c r="N4" s="197" t="n"/>
      <c r="O4" s="197" t="n"/>
      <c r="P4" s="197" t="n"/>
      <c r="Q4" s="197" t="n"/>
      <c r="R4" s="197" t="n"/>
      <c r="S4" s="199" t="n"/>
    </row>
    <row r="5" ht="13.8" customHeight="1" thickBot="1">
      <c r="A5" s="220" t="inlineStr">
        <is>
          <t>GERAL</t>
        </is>
      </c>
      <c r="B5" s="221" t="n"/>
      <c r="C5" s="221" t="n"/>
      <c r="D5" s="221" t="n"/>
      <c r="E5" s="221" t="n"/>
      <c r="F5" s="221" t="n"/>
      <c r="G5" s="222" t="n"/>
      <c r="H5" s="220" t="inlineStr">
        <is>
          <t>VÁLVULA SOLENÓIDE</t>
        </is>
      </c>
      <c r="I5" s="221" t="n"/>
      <c r="J5" s="221" t="n"/>
      <c r="K5" s="221" t="n"/>
      <c r="L5" s="221" t="n"/>
      <c r="M5" s="221" t="n"/>
      <c r="N5" s="221" t="n"/>
      <c r="O5" s="221" t="n"/>
      <c r="P5" s="221" t="n"/>
      <c r="Q5" s="221" t="n"/>
      <c r="R5" s="221" t="n"/>
      <c r="S5" s="222" t="n"/>
    </row>
    <row r="6">
      <c r="A6" s="17" t="inlineStr">
        <is>
          <t>TAG / Quantidade</t>
        </is>
      </c>
      <c r="B6" s="167" t="inlineStr">
        <is>
          <t>XV-1702.9</t>
        </is>
      </c>
      <c r="C6" s="181" t="n"/>
      <c r="D6" s="181" t="n"/>
      <c r="E6" s="181" t="n"/>
      <c r="F6" s="181" t="n"/>
      <c r="G6" s="181" t="n"/>
      <c r="H6" s="18" t="inlineStr">
        <is>
          <t>TAG</t>
        </is>
      </c>
      <c r="I6" s="212" t="n"/>
      <c r="J6" s="212" t="n"/>
      <c r="K6" s="212" t="n"/>
      <c r="L6" s="212" t="n"/>
      <c r="M6" s="213" t="n"/>
      <c r="N6" s="223" t="n"/>
      <c r="O6" s="173" t="n"/>
      <c r="P6" s="173" t="n"/>
      <c r="Q6" s="173" t="n"/>
      <c r="R6" s="173" t="n"/>
      <c r="S6" s="177" t="n"/>
    </row>
    <row r="7">
      <c r="A7" s="3" t="inlineStr">
        <is>
          <t>Função</t>
        </is>
      </c>
      <c r="B7" s="158" t="n"/>
      <c r="C7" s="205" t="n"/>
      <c r="D7" s="205" t="n"/>
      <c r="E7" s="205" t="n"/>
      <c r="F7" s="205" t="n"/>
      <c r="G7" s="205" t="n"/>
      <c r="H7" s="3" t="inlineStr">
        <is>
          <t>Tipo</t>
        </is>
      </c>
      <c r="I7" s="205" t="n"/>
      <c r="J7" s="205" t="n"/>
      <c r="K7" s="205" t="n"/>
      <c r="L7" s="205" t="n"/>
      <c r="M7" s="206" t="n"/>
      <c r="N7" s="224" t="n"/>
      <c r="O7" s="184" t="n"/>
      <c r="P7" s="184" t="n"/>
      <c r="Q7" s="184" t="n"/>
      <c r="R7" s="184" t="n"/>
      <c r="S7" s="185" t="n"/>
    </row>
    <row r="8">
      <c r="A8" s="4" t="inlineStr">
        <is>
          <t>Fluxograma</t>
        </is>
      </c>
      <c r="B8" s="158" t="inlineStr">
        <is>
          <t>PHS2-PR27-1701-FL.01 Rev. 74I</t>
        </is>
      </c>
      <c r="C8" s="205" t="n"/>
      <c r="D8" s="205" t="n"/>
      <c r="E8" s="205" t="n"/>
      <c r="F8" s="205" t="n"/>
      <c r="G8" s="205" t="n"/>
      <c r="H8" s="3" t="inlineStr">
        <is>
          <t>Número de vias/posições</t>
        </is>
      </c>
      <c r="I8" s="205" t="n"/>
      <c r="J8" s="205" t="n"/>
      <c r="K8" s="205" t="n"/>
      <c r="L8" s="205" t="n"/>
      <c r="M8" s="206" t="n"/>
      <c r="N8" s="224" t="n"/>
      <c r="O8" s="184" t="n"/>
      <c r="P8" s="184" t="n"/>
      <c r="Q8" s="184" t="n"/>
      <c r="R8" s="184" t="n"/>
      <c r="S8" s="185" t="n"/>
    </row>
    <row r="9">
      <c r="A9" s="3" t="inlineStr">
        <is>
          <t>Bitola da linha</t>
        </is>
      </c>
      <c r="B9" s="158" t="n"/>
      <c r="C9" s="205" t="n"/>
      <c r="D9" s="205" t="n"/>
      <c r="E9" s="205" t="n"/>
      <c r="F9" s="205" t="n"/>
      <c r="G9" s="205" t="n"/>
      <c r="H9" s="3" t="inlineStr">
        <is>
          <t>Material do corpo</t>
        </is>
      </c>
      <c r="I9" s="205" t="n"/>
      <c r="J9" s="205" t="n"/>
      <c r="K9" s="205" t="n"/>
      <c r="L9" s="205" t="n"/>
      <c r="M9" s="206" t="n"/>
      <c r="N9" s="224" t="n"/>
      <c r="O9" s="184" t="n"/>
      <c r="P9" s="184" t="n"/>
      <c r="Q9" s="184" t="n"/>
      <c r="R9" s="184" t="n"/>
      <c r="S9" s="185" t="n"/>
    </row>
    <row r="10">
      <c r="A10" s="3" t="inlineStr">
        <is>
          <t>Tipo do corpo</t>
        </is>
      </c>
      <c r="B10" s="158" t="inlineStr">
        <is>
          <t>ESFERA AUTOMÁTICA</t>
        </is>
      </c>
      <c r="C10" s="205" t="n"/>
      <c r="D10" s="205" t="n"/>
      <c r="E10" s="205" t="n"/>
      <c r="F10" s="205" t="n"/>
      <c r="G10" s="205" t="n"/>
      <c r="H10" s="3" t="inlineStr">
        <is>
          <t>Classe da bobina</t>
        </is>
      </c>
      <c r="I10" s="205" t="n"/>
      <c r="J10" s="205" t="n"/>
      <c r="K10" s="205" t="n"/>
      <c r="L10" s="205" t="n"/>
      <c r="M10" s="206" t="n"/>
      <c r="N10" s="224" t="n"/>
      <c r="O10" s="184" t="n"/>
      <c r="P10" s="184" t="n"/>
      <c r="Q10" s="184" t="n"/>
      <c r="R10" s="184" t="n"/>
      <c r="S10" s="185" t="n"/>
    </row>
    <row r="11">
      <c r="A11" s="3" t="inlineStr">
        <is>
          <t>Material do corpo</t>
        </is>
      </c>
      <c r="B11" s="158" t="n"/>
      <c r="C11" s="205" t="n"/>
      <c r="D11" s="205" t="n"/>
      <c r="E11" s="205" t="n"/>
      <c r="F11" s="205" t="n"/>
      <c r="G11" s="205" t="n"/>
      <c r="H11" s="3" t="inlineStr">
        <is>
          <t>Número de bobinas</t>
        </is>
      </c>
      <c r="I11" s="205" t="n"/>
      <c r="J11" s="205" t="n"/>
      <c r="K11" s="205" t="n"/>
      <c r="L11" s="205" t="n"/>
      <c r="M11" s="206" t="n"/>
      <c r="N11" s="224" t="n"/>
      <c r="O11" s="184" t="n"/>
      <c r="P11" s="184" t="n"/>
      <c r="Q11" s="184" t="n"/>
      <c r="R11" s="184" t="n"/>
      <c r="S11" s="185" t="n"/>
    </row>
    <row r="12">
      <c r="A12" s="3" t="inlineStr">
        <is>
          <t>Diâmetro da válvula</t>
        </is>
      </c>
      <c r="B12" s="158" t="inlineStr">
        <is>
          <t>-</t>
        </is>
      </c>
      <c r="C12" s="205" t="n"/>
      <c r="D12" s="205" t="n"/>
      <c r="E12" s="205" t="n"/>
      <c r="F12" s="205" t="n"/>
      <c r="G12" s="205" t="n"/>
      <c r="H12" s="3" t="inlineStr">
        <is>
          <t>Conexão elétrica</t>
        </is>
      </c>
      <c r="I12" s="205" t="n"/>
      <c r="J12" s="205" t="n"/>
      <c r="K12" s="205" t="n"/>
      <c r="L12" s="205" t="n"/>
      <c r="M12" s="206" t="n"/>
      <c r="N12" s="224" t="n"/>
      <c r="O12" s="184" t="n"/>
      <c r="P12" s="184" t="n"/>
      <c r="Q12" s="184" t="n"/>
      <c r="R12" s="184" t="n"/>
      <c r="S12" s="185" t="n"/>
    </row>
    <row r="13">
      <c r="A13" s="3" t="inlineStr">
        <is>
          <t>Conexões e faceamento</t>
        </is>
      </c>
      <c r="B13" s="148" t="n"/>
      <c r="C13" s="205" t="n"/>
      <c r="D13" s="205" t="n"/>
      <c r="E13" s="205" t="n"/>
      <c r="F13" s="205" t="n"/>
      <c r="G13" s="205" t="n"/>
      <c r="H13" s="3" t="inlineStr">
        <is>
          <t>Conexão pneumática</t>
        </is>
      </c>
      <c r="I13" s="205" t="n"/>
      <c r="J13" s="205" t="n"/>
      <c r="K13" s="205" t="n"/>
      <c r="L13" s="205" t="n"/>
      <c r="M13" s="206" t="n"/>
      <c r="N13" s="224" t="n"/>
      <c r="O13" s="184" t="n"/>
      <c r="P13" s="184" t="n"/>
      <c r="Q13" s="184" t="n"/>
      <c r="R13" s="184" t="n"/>
      <c r="S13" s="185" t="n"/>
    </row>
    <row r="14">
      <c r="A14" s="3" t="inlineStr">
        <is>
          <t>Castelo</t>
        </is>
      </c>
      <c r="B14" s="148" t="n"/>
      <c r="C14" s="205" t="n"/>
      <c r="D14" s="205" t="n"/>
      <c r="E14" s="205" t="n"/>
      <c r="F14" s="205" t="n"/>
      <c r="G14" s="205" t="n"/>
      <c r="H14" s="3" t="inlineStr">
        <is>
          <t>Classificação da área</t>
        </is>
      </c>
      <c r="I14" s="205" t="n"/>
      <c r="J14" s="205" t="n"/>
      <c r="K14" s="205" t="n"/>
      <c r="L14" s="205" t="n"/>
      <c r="M14" s="206" t="n"/>
      <c r="N14" s="224" t="n"/>
      <c r="O14" s="184" t="n"/>
      <c r="P14" s="184" t="n"/>
      <c r="Q14" s="184" t="n"/>
      <c r="R14" s="184" t="n"/>
      <c r="S14" s="185" t="n"/>
    </row>
    <row r="15" ht="13.8" customHeight="1" thickBot="1">
      <c r="A15" s="16" t="inlineStr">
        <is>
          <t>Classe de vedação</t>
        </is>
      </c>
      <c r="B15" s="150" t="n"/>
      <c r="C15" s="184" t="n"/>
      <c r="D15" s="184" t="n"/>
      <c r="E15" s="184" t="n"/>
      <c r="F15" s="184" t="n"/>
      <c r="G15" s="184" t="n"/>
      <c r="H15" s="6" t="inlineStr">
        <is>
          <t>Classificação do invólucro</t>
        </is>
      </c>
      <c r="I15" s="208" t="n"/>
      <c r="J15" s="208" t="n"/>
      <c r="K15" s="208" t="n"/>
      <c r="L15" s="208" t="n"/>
      <c r="M15" s="209" t="n"/>
      <c r="N15" s="225" t="n"/>
      <c r="O15" s="208" t="n"/>
      <c r="P15" s="208" t="n"/>
      <c r="Q15" s="208" t="n"/>
      <c r="R15" s="208" t="n"/>
      <c r="S15" s="226" t="n"/>
    </row>
    <row r="16" ht="13.8" customHeight="1" thickBot="1">
      <c r="A16" s="220" t="inlineStr">
        <is>
          <t>INTERNOS</t>
        </is>
      </c>
      <c r="B16" s="221" t="n"/>
      <c r="C16" s="221" t="n"/>
      <c r="D16" s="221" t="n"/>
      <c r="E16" s="221" t="n"/>
      <c r="F16" s="221" t="n"/>
      <c r="G16" s="222" t="n"/>
      <c r="H16" s="220" t="inlineStr">
        <is>
          <t>FINS DE CURSO</t>
        </is>
      </c>
      <c r="I16" s="221" t="n"/>
      <c r="J16" s="221" t="n"/>
      <c r="K16" s="221" t="n"/>
      <c r="L16" s="221" t="n"/>
      <c r="M16" s="221" t="n"/>
      <c r="N16" s="221" t="n"/>
      <c r="O16" s="221" t="n"/>
      <c r="P16" s="221" t="n"/>
      <c r="Q16" s="221" t="n"/>
      <c r="R16" s="221" t="n"/>
      <c r="S16" s="222" t="n"/>
      <c r="X16" s="69" t="n"/>
      <c r="Y16" s="69" t="n"/>
      <c r="Z16" s="69" t="n"/>
    </row>
    <row r="17">
      <c r="A17" s="18" t="inlineStr">
        <is>
          <t>Material das gaxetas</t>
        </is>
      </c>
      <c r="B17" s="227" t="n"/>
      <c r="C17" s="212" t="n"/>
      <c r="D17" s="212" t="n"/>
      <c r="E17" s="212" t="n"/>
      <c r="F17" s="212" t="n"/>
      <c r="G17" s="214" t="n"/>
      <c r="H17" s="146" t="inlineStr">
        <is>
          <t>TAG</t>
        </is>
      </c>
      <c r="I17" s="181" t="n"/>
      <c r="J17" s="181" t="n"/>
      <c r="K17" s="181" t="n"/>
      <c r="L17" s="181" t="n"/>
      <c r="M17" s="202" t="n"/>
      <c r="N17" s="228" t="n"/>
      <c r="S17" s="192" t="n"/>
      <c r="X17" s="69" t="n"/>
      <c r="Z17" s="69" t="n"/>
    </row>
    <row r="18">
      <c r="A18" s="3" t="inlineStr">
        <is>
          <t>Sede</t>
        </is>
      </c>
      <c r="B18" s="229" t="n"/>
      <c r="C18" s="205" t="n"/>
      <c r="D18" s="205" t="n"/>
      <c r="E18" s="205" t="n"/>
      <c r="F18" s="205" t="n"/>
      <c r="G18" s="216" t="n"/>
      <c r="H18" s="130" t="inlineStr">
        <is>
          <t>Tipo</t>
        </is>
      </c>
      <c r="I18" s="205" t="n"/>
      <c r="J18" s="205" t="n"/>
      <c r="K18" s="205" t="n"/>
      <c r="L18" s="205" t="n"/>
      <c r="M18" s="206" t="n"/>
      <c r="N18" s="224" t="n"/>
      <c r="O18" s="184" t="n"/>
      <c r="P18" s="184" t="n"/>
      <c r="Q18" s="184" t="n"/>
      <c r="R18" s="184" t="n"/>
      <c r="S18" s="185" t="n"/>
      <c r="X18" s="69" t="n"/>
      <c r="Z18" s="69" t="n"/>
    </row>
    <row r="19">
      <c r="A19" s="5" t="inlineStr">
        <is>
          <t>Material do disco</t>
        </is>
      </c>
      <c r="B19" s="229" t="n"/>
      <c r="C19" s="205" t="n"/>
      <c r="D19" s="205" t="n"/>
      <c r="E19" s="205" t="n"/>
      <c r="F19" s="205" t="n"/>
      <c r="G19" s="216" t="n"/>
      <c r="H19" s="130" t="inlineStr">
        <is>
          <t>Quantidade</t>
        </is>
      </c>
      <c r="I19" s="205" t="n"/>
      <c r="J19" s="205" t="n"/>
      <c r="K19" s="205" t="n"/>
      <c r="L19" s="205" t="n"/>
      <c r="M19" s="206" t="n"/>
      <c r="N19" s="224" t="n"/>
      <c r="O19" s="184" t="n"/>
      <c r="P19" s="184" t="n"/>
      <c r="Q19" s="184" t="n"/>
      <c r="R19" s="184" t="n"/>
      <c r="S19" s="185" t="n"/>
      <c r="X19" s="69" t="n"/>
      <c r="Z19" s="69" t="n"/>
    </row>
    <row r="20">
      <c r="A20" s="5" t="inlineStr">
        <is>
          <t>Material da haste</t>
        </is>
      </c>
      <c r="B20" s="229" t="n"/>
      <c r="C20" s="205" t="n"/>
      <c r="D20" s="205" t="n"/>
      <c r="E20" s="205" t="n"/>
      <c r="F20" s="205" t="n"/>
      <c r="G20" s="216" t="n"/>
      <c r="H20" s="130" t="inlineStr">
        <is>
          <t>Tipo dos contatos</t>
        </is>
      </c>
      <c r="I20" s="205" t="n"/>
      <c r="J20" s="205" t="n"/>
      <c r="K20" s="205" t="n"/>
      <c r="L20" s="205" t="n"/>
      <c r="M20" s="206" t="n"/>
      <c r="N20" s="224" t="n"/>
      <c r="O20" s="184" t="n"/>
      <c r="P20" s="184" t="n"/>
      <c r="Q20" s="184" t="n"/>
      <c r="R20" s="184" t="n"/>
      <c r="S20" s="185" t="n"/>
      <c r="X20" s="69" t="n"/>
      <c r="Z20" s="69" t="n"/>
    </row>
    <row r="21">
      <c r="A21" s="3" t="inlineStr">
        <is>
          <t>Obturador balanceado</t>
        </is>
      </c>
      <c r="B21" s="229" t="n"/>
      <c r="C21" s="205" t="n"/>
      <c r="D21" s="205" t="n"/>
      <c r="E21" s="205" t="n"/>
      <c r="F21" s="205" t="n"/>
      <c r="G21" s="216" t="n"/>
      <c r="H21" s="130" t="inlineStr">
        <is>
          <t>Conexão elétrica</t>
        </is>
      </c>
      <c r="I21" s="205" t="n"/>
      <c r="J21" s="205" t="n"/>
      <c r="K21" s="205" t="n"/>
      <c r="L21" s="205" t="n"/>
      <c r="M21" s="206" t="n"/>
      <c r="N21" s="224" t="n"/>
      <c r="O21" s="184" t="n"/>
      <c r="P21" s="184" t="n"/>
      <c r="Q21" s="184" t="n"/>
      <c r="R21" s="184" t="n"/>
      <c r="S21" s="185" t="n"/>
      <c r="X21" s="69" t="n"/>
      <c r="Z21" s="69" t="n"/>
    </row>
    <row r="22">
      <c r="A22" s="3" t="inlineStr">
        <is>
          <t>Direção do fluxo</t>
        </is>
      </c>
      <c r="B22" s="229" t="n"/>
      <c r="C22" s="205" t="n"/>
      <c r="D22" s="205" t="n"/>
      <c r="E22" s="205" t="n"/>
      <c r="F22" s="205" t="n"/>
      <c r="G22" s="216" t="n"/>
      <c r="H22" s="130" t="inlineStr">
        <is>
          <t>Classificação de área</t>
        </is>
      </c>
      <c r="I22" s="205" t="n"/>
      <c r="J22" s="205" t="n"/>
      <c r="K22" s="205" t="n"/>
      <c r="L22" s="205" t="n"/>
      <c r="M22" s="206" t="n"/>
      <c r="N22" s="224" t="n"/>
      <c r="O22" s="184" t="n"/>
      <c r="P22" s="184" t="n"/>
      <c r="Q22" s="184" t="n"/>
      <c r="R22" s="184" t="n"/>
      <c r="S22" s="185" t="n"/>
      <c r="X22" s="69" t="n"/>
      <c r="Z22" s="69" t="n"/>
    </row>
    <row r="23" ht="13.8" customHeight="1" thickBot="1">
      <c r="A23" s="6" t="inlineStr">
        <is>
          <t>Guias</t>
        </is>
      </c>
      <c r="B23" s="230" t="n"/>
      <c r="C23" s="208" t="n"/>
      <c r="D23" s="208" t="n"/>
      <c r="E23" s="208" t="n"/>
      <c r="F23" s="208" t="n"/>
      <c r="G23" s="226" t="n"/>
      <c r="H23" s="147" t="inlineStr">
        <is>
          <t>Classificação do invólucro</t>
        </is>
      </c>
      <c r="I23" s="184" t="n"/>
      <c r="J23" s="184" t="n"/>
      <c r="K23" s="184" t="n"/>
      <c r="L23" s="184" t="n"/>
      <c r="M23" s="231" t="n"/>
      <c r="N23" s="224" t="n"/>
      <c r="O23" s="184" t="n"/>
      <c r="P23" s="184" t="n"/>
      <c r="Q23" s="184" t="n"/>
      <c r="R23" s="184" t="n"/>
      <c r="S23" s="185" t="n"/>
      <c r="X23" s="69" t="n"/>
      <c r="Z23" s="69" t="n"/>
    </row>
    <row r="24" ht="13.8" customHeight="1" thickBot="1">
      <c r="A24" s="220" t="inlineStr">
        <is>
          <t>ATUADOR</t>
        </is>
      </c>
      <c r="B24" s="221" t="n"/>
      <c r="C24" s="221" t="n"/>
      <c r="D24" s="221" t="n"/>
      <c r="E24" s="221" t="n"/>
      <c r="F24" s="221" t="n"/>
      <c r="G24" s="222" t="n"/>
      <c r="H24" s="220" t="inlineStr">
        <is>
          <t>DADOS DE PROCESSO</t>
        </is>
      </c>
      <c r="I24" s="221" t="n"/>
      <c r="J24" s="221" t="n"/>
      <c r="K24" s="221" t="n"/>
      <c r="L24" s="221" t="n"/>
      <c r="M24" s="221" t="n"/>
      <c r="N24" s="221" t="n"/>
      <c r="O24" s="221" t="n"/>
      <c r="P24" s="221" t="n"/>
      <c r="Q24" s="221" t="n"/>
      <c r="R24" s="221" t="n"/>
      <c r="S24" s="222" t="n"/>
    </row>
    <row r="25">
      <c r="A25" s="17" t="inlineStr">
        <is>
          <t>Tipo</t>
        </is>
      </c>
      <c r="B25" s="152" t="n"/>
      <c r="C25" s="181" t="n"/>
      <c r="D25" s="181" t="n"/>
      <c r="E25" s="181" t="n"/>
      <c r="F25" s="181" t="n"/>
      <c r="G25" s="181" t="n"/>
      <c r="H25" s="18" t="inlineStr">
        <is>
          <t>Fluido</t>
        </is>
      </c>
      <c r="I25" s="212" t="n"/>
      <c r="J25" s="212" t="n"/>
      <c r="K25" s="212" t="n"/>
      <c r="L25" s="212" t="n"/>
      <c r="M25" s="213" t="n"/>
      <c r="N25" s="232" t="inlineStr">
        <is>
          <t>(NOTA 1)</t>
        </is>
      </c>
      <c r="O25" s="173" t="n"/>
      <c r="P25" s="173" t="n"/>
      <c r="Q25" s="173" t="n"/>
      <c r="R25" s="173" t="n"/>
      <c r="S25" s="177" t="n"/>
    </row>
    <row r="26">
      <c r="A26" s="3" t="inlineStr">
        <is>
          <t>Range</t>
        </is>
      </c>
      <c r="B26" s="148" t="n"/>
      <c r="C26" s="205" t="n"/>
      <c r="D26" s="205" t="n"/>
      <c r="E26" s="205" t="n"/>
      <c r="F26" s="205" t="n"/>
      <c r="G26" s="205" t="n"/>
      <c r="H26" s="3" t="inlineStr">
        <is>
          <t>Estado físico</t>
        </is>
      </c>
      <c r="I26" s="205" t="n"/>
      <c r="J26" s="205" t="n"/>
      <c r="K26" s="205" t="n"/>
      <c r="L26" s="205" t="n"/>
      <c r="M26" s="206" t="n"/>
      <c r="N26" s="233" t="n"/>
      <c r="O26" s="184" t="n"/>
      <c r="P26" s="184" t="n"/>
      <c r="Q26" s="184" t="n"/>
      <c r="R26" s="184" t="n"/>
      <c r="S26" s="185" t="n"/>
    </row>
    <row r="27">
      <c r="A27" s="3" t="inlineStr">
        <is>
          <t>Volante</t>
        </is>
      </c>
      <c r="B27" s="148" t="n"/>
      <c r="C27" s="205" t="n"/>
      <c r="D27" s="205" t="n"/>
      <c r="E27" s="205" t="n"/>
      <c r="F27" s="205" t="n"/>
      <c r="G27" s="205" t="n"/>
      <c r="H27" s="3" t="inlineStr">
        <is>
          <t>Pressão de entrada</t>
        </is>
      </c>
      <c r="I27" s="205" t="n"/>
      <c r="J27" s="205" t="n"/>
      <c r="K27" s="205" t="n"/>
      <c r="L27" s="205" t="n"/>
      <c r="M27" s="206" t="n"/>
      <c r="N27" s="233" t="inlineStr">
        <is>
          <t>1,2</t>
        </is>
      </c>
      <c r="O27" s="184" t="n"/>
      <c r="P27" s="184" t="n"/>
      <c r="Q27" s="184" t="n"/>
      <c r="R27" s="184" t="n"/>
      <c r="S27" s="185" t="n"/>
    </row>
    <row r="28">
      <c r="A28" s="3" t="inlineStr">
        <is>
          <t>Ação em caso de falha</t>
        </is>
      </c>
      <c r="B28" s="148" t="n"/>
      <c r="C28" s="205" t="n"/>
      <c r="D28" s="205" t="n"/>
      <c r="E28" s="205" t="n"/>
      <c r="F28" s="205" t="n"/>
      <c r="G28" s="205" t="n"/>
      <c r="H28" s="3" t="inlineStr">
        <is>
          <t>Pressão de saída</t>
        </is>
      </c>
      <c r="I28" s="205" t="n"/>
      <c r="J28" s="205" t="n"/>
      <c r="K28" s="205" t="n"/>
      <c r="L28" s="205" t="n"/>
      <c r="M28" s="206" t="n"/>
      <c r="N28" s="233" t="n"/>
      <c r="O28" s="184" t="n"/>
      <c r="P28" s="184" t="n"/>
      <c r="Q28" s="184" t="n"/>
      <c r="R28" s="184" t="n"/>
      <c r="S28" s="185" t="n"/>
    </row>
    <row r="29" ht="13.8" customHeight="1" thickBot="1">
      <c r="A29" s="16" t="inlineStr">
        <is>
          <t>Pressão suprimento de ar (min/max)</t>
        </is>
      </c>
      <c r="B29" s="150" t="n"/>
      <c r="C29" s="184" t="n"/>
      <c r="D29" s="184" t="n"/>
      <c r="E29" s="184" t="n"/>
      <c r="F29" s="184" t="n"/>
      <c r="G29" s="184" t="n"/>
      <c r="H29" s="3" t="inlineStr">
        <is>
          <t>Viscosidade</t>
        </is>
      </c>
      <c r="I29" s="205" t="n"/>
      <c r="J29" s="205" t="n"/>
      <c r="K29" s="205" t="n"/>
      <c r="L29" s="205" t="n"/>
      <c r="M29" s="206" t="n"/>
      <c r="N29" s="233" t="inlineStr">
        <is>
          <t>&lt;50 cP</t>
        </is>
      </c>
      <c r="O29" s="184" t="n"/>
      <c r="P29" s="184" t="n"/>
      <c r="Q29" s="184" t="n"/>
      <c r="R29" s="184" t="n"/>
      <c r="S29" s="185" t="n"/>
    </row>
    <row r="30" ht="13.8" customHeight="1" thickBot="1">
      <c r="A30" s="142" t="inlineStr">
        <is>
          <t>POSICIONADOR</t>
        </is>
      </c>
      <c r="B30" s="221" t="n"/>
      <c r="C30" s="221" t="n"/>
      <c r="D30" s="221" t="n"/>
      <c r="E30" s="221" t="n"/>
      <c r="F30" s="221" t="n"/>
      <c r="G30" s="221" t="n"/>
      <c r="H30" s="3" t="inlineStr">
        <is>
          <t>Vazão normal</t>
        </is>
      </c>
      <c r="I30" s="205" t="n"/>
      <c r="J30" s="205" t="n"/>
      <c r="K30" s="205" t="n"/>
      <c r="L30" s="205" t="n"/>
      <c r="M30" s="206" t="n"/>
      <c r="N30" s="233" t="n"/>
      <c r="O30" s="184" t="n"/>
      <c r="P30" s="184" t="n"/>
      <c r="Q30" s="184" t="n"/>
      <c r="R30" s="184" t="n"/>
      <c r="S30" s="185" t="n"/>
    </row>
    <row r="31">
      <c r="A31" s="17" t="inlineStr">
        <is>
          <t>Tipo</t>
        </is>
      </c>
      <c r="B31" s="152" t="n"/>
      <c r="C31" s="181" t="n"/>
      <c r="D31" s="181" t="n"/>
      <c r="E31" s="181" t="n"/>
      <c r="F31" s="181" t="n"/>
      <c r="G31" s="181" t="n"/>
      <c r="H31" s="3" t="inlineStr">
        <is>
          <t>Vazão máxima</t>
        </is>
      </c>
      <c r="I31" s="205" t="n"/>
      <c r="J31" s="205" t="n"/>
      <c r="K31" s="205" t="n"/>
      <c r="L31" s="205" t="n"/>
      <c r="M31" s="206" t="n"/>
      <c r="N31" s="233" t="inlineStr">
        <is>
          <t>30.0</t>
        </is>
      </c>
      <c r="O31" s="184" t="n"/>
      <c r="P31" s="184" t="n"/>
      <c r="Q31" s="184" t="n"/>
      <c r="R31" s="184" t="n"/>
      <c r="S31" s="185" t="n"/>
    </row>
    <row r="32">
      <c r="A32" s="3" t="inlineStr">
        <is>
          <t>By-pass</t>
        </is>
      </c>
      <c r="B32" s="148" t="n"/>
      <c r="C32" s="205" t="n"/>
      <c r="D32" s="205" t="n"/>
      <c r="E32" s="205" t="n"/>
      <c r="F32" s="205" t="n"/>
      <c r="G32" s="205" t="n"/>
      <c r="H32" s="3" t="inlineStr">
        <is>
          <t>Vazão mínima</t>
        </is>
      </c>
      <c r="I32" s="205" t="n"/>
      <c r="J32" s="205" t="n"/>
      <c r="K32" s="205" t="n"/>
      <c r="L32" s="205" t="n"/>
      <c r="M32" s="206" t="n"/>
      <c r="N32" s="233" t="inlineStr">
        <is>
          <t>15.0</t>
        </is>
      </c>
      <c r="O32" s="184" t="n"/>
      <c r="P32" s="184" t="n"/>
      <c r="Q32" s="184" t="n"/>
      <c r="R32" s="184" t="n"/>
      <c r="S32" s="185" t="n"/>
    </row>
    <row r="33">
      <c r="A33" s="3" t="inlineStr">
        <is>
          <t>Manômetros quantidade</t>
        </is>
      </c>
      <c r="B33" s="148" t="n"/>
      <c r="C33" s="205" t="n"/>
      <c r="D33" s="205" t="n"/>
      <c r="E33" s="205" t="n"/>
      <c r="F33" s="205" t="n"/>
      <c r="G33" s="205" t="n"/>
      <c r="H33" s="3" t="inlineStr">
        <is>
          <t>Pressão shut off</t>
        </is>
      </c>
      <c r="I33" s="205" t="n"/>
      <c r="J33" s="205" t="n"/>
      <c r="K33" s="205" t="n"/>
      <c r="L33" s="205" t="n"/>
      <c r="M33" s="206" t="n"/>
      <c r="N33" s="233" t="n"/>
      <c r="O33" s="184" t="n"/>
      <c r="P33" s="184" t="n"/>
      <c r="Q33" s="184" t="n"/>
      <c r="R33" s="184" t="n"/>
      <c r="S33" s="185" t="n"/>
    </row>
    <row r="34">
      <c r="A34" s="3" t="inlineStr">
        <is>
          <t>Sinal de entrada</t>
        </is>
      </c>
      <c r="B34" s="148" t="n"/>
      <c r="C34" s="205" t="n"/>
      <c r="D34" s="205" t="n"/>
      <c r="E34" s="205" t="n"/>
      <c r="F34" s="205" t="n"/>
      <c r="G34" s="205" t="n"/>
      <c r="H34" s="3" t="inlineStr">
        <is>
          <t>Temperatura máxima</t>
        </is>
      </c>
      <c r="I34" s="205" t="n"/>
      <c r="J34" s="205" t="n"/>
      <c r="K34" s="205" t="n"/>
      <c r="L34" s="205" t="n"/>
      <c r="M34" s="206" t="n"/>
      <c r="N34" s="233" t="inlineStr">
        <is>
          <t>35</t>
        </is>
      </c>
      <c r="O34" s="184" t="n"/>
      <c r="P34" s="184" t="n"/>
      <c r="Q34" s="184" t="n"/>
      <c r="R34" s="184" t="n"/>
      <c r="S34" s="185" t="n"/>
    </row>
    <row r="35">
      <c r="A35" s="3" t="inlineStr">
        <is>
          <t>Sial de saída</t>
        </is>
      </c>
      <c r="B35" s="148" t="n"/>
      <c r="C35" s="205" t="n"/>
      <c r="D35" s="205" t="n"/>
      <c r="E35" s="205" t="n"/>
      <c r="F35" s="205" t="n"/>
      <c r="G35" s="205" t="n"/>
      <c r="H35" s="3" t="inlineStr">
        <is>
          <t>Temperatura normal</t>
        </is>
      </c>
      <c r="I35" s="205" t="n"/>
      <c r="J35" s="205" t="n"/>
      <c r="K35" s="205" t="n"/>
      <c r="L35" s="205" t="n"/>
      <c r="M35" s="206" t="n"/>
      <c r="N35" s="233" t="n"/>
      <c r="O35" s="184" t="n"/>
      <c r="P35" s="184" t="n"/>
      <c r="Q35" s="184" t="n"/>
      <c r="R35" s="184" t="n"/>
      <c r="S35" s="185" t="n"/>
    </row>
    <row r="36">
      <c r="A36" s="3" t="inlineStr">
        <is>
          <t>Característica do came</t>
        </is>
      </c>
      <c r="B36" s="148" t="n"/>
      <c r="C36" s="205" t="n"/>
      <c r="D36" s="205" t="n"/>
      <c r="E36" s="205" t="n"/>
      <c r="F36" s="205" t="n"/>
      <c r="G36" s="205" t="n"/>
      <c r="H36" s="3" t="inlineStr">
        <is>
          <t>Massa específica</t>
        </is>
      </c>
      <c r="I36" s="205" t="n"/>
      <c r="J36" s="205" t="n"/>
      <c r="K36" s="205" t="n"/>
      <c r="L36" s="205" t="n"/>
      <c r="M36" s="206" t="n"/>
      <c r="N36" s="233" t="inlineStr">
        <is>
          <t>1120 kg/m3</t>
        </is>
      </c>
      <c r="O36" s="184" t="n"/>
      <c r="P36" s="184" t="n"/>
      <c r="Q36" s="184" t="n"/>
      <c r="R36" s="184" t="n"/>
      <c r="S36" s="185" t="n"/>
    </row>
    <row r="37" ht="13.8" customHeight="1" thickBot="1">
      <c r="A37" s="16" t="inlineStr">
        <is>
          <t>Alimentação de ar</t>
        </is>
      </c>
      <c r="B37" s="150" t="n"/>
      <c r="C37" s="184" t="n"/>
      <c r="D37" s="184" t="n"/>
      <c r="E37" s="184" t="n"/>
      <c r="F37" s="184" t="n"/>
      <c r="G37" s="184" t="n"/>
      <c r="H37" s="3" t="inlineStr">
        <is>
          <t>Cv calculado (máximo) / % abertura</t>
        </is>
      </c>
      <c r="I37" s="205" t="n"/>
      <c r="J37" s="205" t="n"/>
      <c r="K37" s="205" t="n"/>
      <c r="L37" s="205" t="n"/>
      <c r="M37" s="206" t="n"/>
      <c r="N37" s="224" t="n"/>
      <c r="O37" s="184" t="n"/>
      <c r="P37" s="184" t="n"/>
      <c r="Q37" s="184" t="n"/>
      <c r="R37" s="184" t="n"/>
      <c r="S37" s="185" t="n"/>
    </row>
    <row r="38" ht="13.8" customHeight="1" thickBot="1">
      <c r="A38" s="142" t="inlineStr">
        <is>
          <t>ACESSÓRIOS</t>
        </is>
      </c>
      <c r="B38" s="221" t="n"/>
      <c r="C38" s="221" t="n"/>
      <c r="D38" s="221" t="n"/>
      <c r="E38" s="221" t="n"/>
      <c r="F38" s="221" t="n"/>
      <c r="G38" s="221" t="n"/>
      <c r="H38" s="3" t="inlineStr">
        <is>
          <t>Cv calculado (normal) / % abertura</t>
        </is>
      </c>
      <c r="I38" s="205" t="n"/>
      <c r="J38" s="205" t="n"/>
      <c r="K38" s="205" t="n"/>
      <c r="L38" s="205" t="n"/>
      <c r="M38" s="206" t="n"/>
      <c r="N38" s="224" t="n"/>
      <c r="O38" s="184" t="n"/>
      <c r="P38" s="184" t="n"/>
      <c r="Q38" s="184" t="n"/>
      <c r="R38" s="184" t="n"/>
      <c r="S38" s="185" t="n"/>
    </row>
    <row r="39">
      <c r="A39" s="17" t="inlineStr">
        <is>
          <t>Filtro / Filtro regulador</t>
        </is>
      </c>
      <c r="B39" s="152" t="n"/>
      <c r="C39" s="181" t="n"/>
      <c r="D39" s="181" t="n"/>
      <c r="E39" s="181" t="n"/>
      <c r="F39" s="181" t="n"/>
      <c r="G39" s="181" t="n"/>
      <c r="H39" s="3" t="inlineStr">
        <is>
          <t>Cv calculado (mínimo) / % abertura</t>
        </is>
      </c>
      <c r="I39" s="205" t="n"/>
      <c r="J39" s="205" t="n"/>
      <c r="K39" s="205" t="n"/>
      <c r="L39" s="205" t="n"/>
      <c r="M39" s="206" t="n"/>
      <c r="N39" s="224" t="n"/>
      <c r="O39" s="184" t="n"/>
      <c r="P39" s="184" t="n"/>
      <c r="Q39" s="184" t="n"/>
      <c r="R39" s="184" t="n"/>
      <c r="S39" s="185" t="n"/>
    </row>
    <row r="40">
      <c r="A40" s="3" t="inlineStr">
        <is>
          <t>Manômetro para o regulador</t>
        </is>
      </c>
      <c r="B40" s="148" t="n"/>
      <c r="C40" s="205" t="n"/>
      <c r="D40" s="205" t="n"/>
      <c r="E40" s="205" t="n"/>
      <c r="F40" s="205" t="n"/>
      <c r="G40" s="205" t="n"/>
      <c r="H40" s="3" t="inlineStr">
        <is>
          <t>Cv selecionado</t>
        </is>
      </c>
      <c r="I40" s="205" t="n"/>
      <c r="J40" s="205" t="n"/>
      <c r="K40" s="205" t="n"/>
      <c r="L40" s="205" t="n"/>
      <c r="M40" s="206" t="n"/>
      <c r="N40" s="224" t="n"/>
      <c r="O40" s="184" t="n"/>
      <c r="P40" s="184" t="n"/>
      <c r="Q40" s="184" t="n"/>
      <c r="R40" s="184" t="n"/>
      <c r="S40" s="185" t="n"/>
    </row>
    <row r="41" ht="13.8" customHeight="1" thickBot="1">
      <c r="A41" s="6" t="inlineStr">
        <is>
          <t>Posição do volante</t>
        </is>
      </c>
      <c r="B41" s="154" t="n"/>
      <c r="C41" s="208" t="n"/>
      <c r="D41" s="208" t="n"/>
      <c r="E41" s="208" t="n"/>
      <c r="F41" s="208" t="n"/>
      <c r="G41" s="208" t="n"/>
      <c r="H41" s="6" t="inlineStr">
        <is>
          <t>Nível de ruído</t>
        </is>
      </c>
      <c r="I41" s="208" t="n"/>
      <c r="J41" s="208" t="n"/>
      <c r="K41" s="208" t="n"/>
      <c r="L41" s="208" t="n"/>
      <c r="M41" s="209" t="n"/>
      <c r="N41" s="225" t="n"/>
      <c r="O41" s="208" t="n"/>
      <c r="P41" s="208" t="n"/>
      <c r="Q41" s="208" t="n"/>
      <c r="R41" s="208" t="n"/>
      <c r="S41" s="226" t="n"/>
    </row>
    <row r="42">
      <c r="A42" s="234" t="inlineStr">
        <is>
          <t>Notas:</t>
        </is>
      </c>
      <c r="B42" s="173" t="n"/>
      <c r="C42" s="173" t="n"/>
      <c r="D42" s="173" t="n"/>
      <c r="E42" s="173" t="n"/>
      <c r="F42" s="173" t="n"/>
      <c r="G42" s="173" t="n"/>
      <c r="H42" s="173" t="n"/>
      <c r="I42" s="173" t="n"/>
      <c r="J42" s="173" t="n"/>
      <c r="K42" s="173" t="n"/>
      <c r="L42" s="173" t="n"/>
      <c r="M42" s="173" t="n"/>
      <c r="N42" s="173" t="n"/>
      <c r="O42" s="173" t="n"/>
      <c r="P42" s="173" t="n"/>
      <c r="Q42" s="173" t="n"/>
      <c r="R42" s="173" t="n"/>
      <c r="S42" s="177" t="n"/>
    </row>
    <row r="43" ht="13.8" customHeight="1" thickBot="1">
      <c r="A43" s="235" t="inlineStr">
        <is>
          <t>(NOTA 1): CRESTIVO (A16003E); BIRK 25% (A25191A); BIRTEA; CRESTIVO DUO</t>
        </is>
      </c>
      <c r="B43" s="197" t="n"/>
      <c r="C43" s="197" t="n"/>
      <c r="D43" s="197" t="n"/>
      <c r="E43" s="197" t="n"/>
      <c r="F43" s="197" t="n"/>
      <c r="G43" s="197" t="n"/>
      <c r="H43" s="197" t="n"/>
      <c r="I43" s="197" t="n"/>
      <c r="J43" s="197" t="n"/>
      <c r="K43" s="197" t="n"/>
      <c r="L43" s="197" t="n"/>
      <c r="M43" s="197" t="n"/>
      <c r="N43" s="197" t="n"/>
      <c r="O43" s="197" t="n"/>
      <c r="P43" s="197" t="n"/>
      <c r="Q43" s="197" t="n"/>
      <c r="R43" s="197" t="n"/>
      <c r="S43" s="199" t="n"/>
    </row>
    <row r="44">
      <c r="A44" s="7" t="n"/>
    </row>
    <row r="45">
      <c r="A45" s="2" t="n"/>
    </row>
    <row r="46">
      <c r="A46" s="2" t="n"/>
    </row>
    <row r="47">
      <c r="A47" s="2" t="n"/>
    </row>
    <row r="48">
      <c r="A48" s="2" t="n"/>
    </row>
    <row r="49">
      <c r="A49" s="2" t="n"/>
    </row>
    <row r="50">
      <c r="A50" s="2" t="n"/>
    </row>
    <row r="51">
      <c r="A51" s="2" t="n"/>
    </row>
    <row r="52">
      <c r="A52" s="2" t="n"/>
    </row>
    <row r="53">
      <c r="A53" s="2" t="n"/>
    </row>
    <row r="54">
      <c r="A54" s="2" t="n"/>
    </row>
  </sheetData>
  <mergeCells count="116">
    <mergeCell ref="H21:M21"/>
    <mergeCell ref="N23:S23"/>
    <mergeCell ref="B8:G8"/>
    <mergeCell ref="N18:S18"/>
    <mergeCell ref="A1:A4"/>
    <mergeCell ref="N8:S8"/>
    <mergeCell ref="H7:M7"/>
    <mergeCell ref="B10:G10"/>
    <mergeCell ref="N10:S10"/>
    <mergeCell ref="A30:G30"/>
    <mergeCell ref="H27:M27"/>
    <mergeCell ref="N34:S34"/>
    <mergeCell ref="H33:M33"/>
    <mergeCell ref="B36:G36"/>
    <mergeCell ref="N27:S27"/>
    <mergeCell ref="H5:S5"/>
    <mergeCell ref="N36:S36"/>
    <mergeCell ref="H35:M35"/>
    <mergeCell ref="N11:S11"/>
    <mergeCell ref="N20:S20"/>
    <mergeCell ref="B22:G22"/>
    <mergeCell ref="B31:G31"/>
    <mergeCell ref="N22:S22"/>
    <mergeCell ref="H9:M9"/>
    <mergeCell ref="B12:G12"/>
    <mergeCell ref="H39:M39"/>
    <mergeCell ref="B21:G21"/>
    <mergeCell ref="B39:G39"/>
    <mergeCell ref="N12:S12"/>
    <mergeCell ref="N21:S21"/>
    <mergeCell ref="B14:G14"/>
    <mergeCell ref="B23:G23"/>
    <mergeCell ref="N14:S14"/>
    <mergeCell ref="B13:G13"/>
    <mergeCell ref="A43:S43"/>
    <mergeCell ref="N38:S38"/>
    <mergeCell ref="H16:S16"/>
    <mergeCell ref="H32:M32"/>
    <mergeCell ref="H13:M13"/>
    <mergeCell ref="N40:S40"/>
    <mergeCell ref="B33:G33"/>
    <mergeCell ref="H15:M15"/>
    <mergeCell ref="H18:M18"/>
    <mergeCell ref="B41:G41"/>
    <mergeCell ref="B35:G35"/>
    <mergeCell ref="C2:S2"/>
    <mergeCell ref="H8:M8"/>
    <mergeCell ref="N26:S26"/>
    <mergeCell ref="N35:S35"/>
    <mergeCell ref="H26:M26"/>
    <mergeCell ref="B25:G25"/>
    <mergeCell ref="N25:S25"/>
    <mergeCell ref="H10:M10"/>
    <mergeCell ref="H41:M41"/>
    <mergeCell ref="B27:G27"/>
    <mergeCell ref="H34:M34"/>
    <mergeCell ref="H25:M25"/>
    <mergeCell ref="B11:G11"/>
    <mergeCell ref="A5:G5"/>
    <mergeCell ref="A42:S42"/>
    <mergeCell ref="H36:M36"/>
    <mergeCell ref="A38:G38"/>
    <mergeCell ref="H17:M17"/>
    <mergeCell ref="N39:S39"/>
    <mergeCell ref="H11:M11"/>
    <mergeCell ref="B29:G29"/>
    <mergeCell ref="N29:S29"/>
    <mergeCell ref="H19:M19"/>
    <mergeCell ref="H28:M28"/>
    <mergeCell ref="H37:M37"/>
    <mergeCell ref="A24:G24"/>
    <mergeCell ref="N13:S13"/>
    <mergeCell ref="B40:G40"/>
    <mergeCell ref="H12:M12"/>
    <mergeCell ref="N31:S31"/>
    <mergeCell ref="B15:G15"/>
    <mergeCell ref="J1:S1"/>
    <mergeCell ref="N6:S6"/>
    <mergeCell ref="N15:S15"/>
    <mergeCell ref="H24:S24"/>
    <mergeCell ref="H14:M14"/>
    <mergeCell ref="B32:G32"/>
    <mergeCell ref="H23:M23"/>
    <mergeCell ref="A16:G16"/>
    <mergeCell ref="B26:G26"/>
    <mergeCell ref="Y16:Y23"/>
    <mergeCell ref="B7:G7"/>
    <mergeCell ref="H38:M38"/>
    <mergeCell ref="N32:S32"/>
    <mergeCell ref="N7:S7"/>
    <mergeCell ref="N41:S41"/>
    <mergeCell ref="H40:M40"/>
    <mergeCell ref="B18:G18"/>
    <mergeCell ref="N33:S33"/>
    <mergeCell ref="B17:G17"/>
    <mergeCell ref="N17:S17"/>
    <mergeCell ref="B19:G19"/>
    <mergeCell ref="B34:G34"/>
    <mergeCell ref="B28:G28"/>
    <mergeCell ref="B37:G37"/>
    <mergeCell ref="N19:S19"/>
    <mergeCell ref="H22:M22"/>
    <mergeCell ref="B9:G9"/>
    <mergeCell ref="N28:S28"/>
    <mergeCell ref="N9:S9"/>
    <mergeCell ref="B6:G6"/>
    <mergeCell ref="B20:G20"/>
    <mergeCell ref="N30:S30"/>
    <mergeCell ref="B3:S4"/>
    <mergeCell ref="H30:M30"/>
    <mergeCell ref="H20:M20"/>
    <mergeCell ref="H29:M29"/>
    <mergeCell ref="B1:H1"/>
    <mergeCell ref="N37:S37"/>
    <mergeCell ref="H31:M31"/>
    <mergeCell ref="H6:M6"/>
  </mergeCells>
  <pageMargins left="0.25" right="0.25" top="0.75" bottom="0.75" header="0.3" footer="0.3"/>
  <pageSetup orientation="portrait" paperSize="9" scale="82"/>
</worksheet>
</file>

<file path=xl/worksheets/sheet7.xml><?xml version="1.0" encoding="utf-8"?>
<worksheet xmlns="http://schemas.openxmlformats.org/spreadsheetml/2006/main">
  <sheetPr codeName="Planilha2">
    <outlinePr summaryBelow="1" summaryRight="1"/>
    <pageSetUpPr fitToPage="1"/>
  </sheetPr>
  <dimension ref="A1:Z54"/>
  <sheetViews>
    <sheetView workbookViewId="0">
      <selection activeCell="A1" sqref="A1"/>
    </sheetView>
  </sheetViews>
  <sheetFormatPr baseColWidth="8" defaultRowHeight="13.2"/>
  <cols>
    <col width="35.109375" bestFit="1" customWidth="1" style="137" min="1" max="1"/>
    <col width="4.88671875" customWidth="1" style="137" min="2" max="19"/>
  </cols>
  <sheetData>
    <row r="1" ht="14.25" customHeight="1">
      <c r="A1" s="210">
        <f>_xlfn.IMAGE("https://technikgrupo.sharepoint.com/sites/transfer/Logos/Technik.png")</f>
        <v/>
      </c>
      <c r="B1" s="211" t="inlineStr">
        <is>
          <t>FOLHA DE DADOS</t>
        </is>
      </c>
      <c r="C1" s="212" t="n"/>
      <c r="D1" s="212" t="n"/>
      <c r="E1" s="212" t="n"/>
      <c r="F1" s="212" t="n"/>
      <c r="G1" s="212" t="n"/>
      <c r="H1" s="213" t="n"/>
      <c r="I1" s="19" t="inlineStr">
        <is>
          <t>Nº.:</t>
        </is>
      </c>
      <c r="J1" s="166">
        <f>"FD-"&amp;Config!D2&amp;"-"&amp;Config!F2&amp;"-001"</f>
        <v/>
      </c>
      <c r="K1" s="212" t="n"/>
      <c r="L1" s="212" t="n"/>
      <c r="M1" s="212" t="n"/>
      <c r="N1" s="212" t="n"/>
      <c r="O1" s="212" t="n"/>
      <c r="P1" s="212" t="n"/>
      <c r="Q1" s="212" t="n"/>
      <c r="R1" s="212" t="n"/>
      <c r="S1" s="214" t="n"/>
    </row>
    <row r="2" ht="14.25" customHeight="1">
      <c r="A2" s="215" t="n"/>
      <c r="B2" s="20" t="inlineStr">
        <is>
          <t>ÁREA:</t>
        </is>
      </c>
      <c r="C2" s="164" t="inlineStr">
        <is>
          <t>PÁTIO D3</t>
        </is>
      </c>
      <c r="D2" s="205" t="n"/>
      <c r="E2" s="205" t="n"/>
      <c r="F2" s="205" t="n"/>
      <c r="G2" s="205" t="n"/>
      <c r="H2" s="205" t="n"/>
      <c r="I2" s="205" t="n"/>
      <c r="J2" s="205" t="n"/>
      <c r="K2" s="205" t="n"/>
      <c r="L2" s="205" t="n"/>
      <c r="M2" s="205" t="n"/>
      <c r="N2" s="205" t="n"/>
      <c r="O2" s="205" t="n"/>
      <c r="P2" s="205" t="n"/>
      <c r="Q2" s="205" t="n"/>
      <c r="R2" s="205" t="n"/>
      <c r="S2" s="216" t="n"/>
    </row>
    <row r="3" ht="14.25" customHeight="1">
      <c r="A3" s="215" t="n"/>
      <c r="B3" s="217" t="inlineStr">
        <is>
          <t>VÁLVULA ON OFF</t>
        </is>
      </c>
      <c r="C3" s="184" t="n"/>
      <c r="D3" s="184" t="n"/>
      <c r="E3" s="184" t="n"/>
      <c r="F3" s="184" t="n"/>
      <c r="G3" s="184" t="n"/>
      <c r="H3" s="184" t="n"/>
      <c r="I3" s="184" t="n"/>
      <c r="J3" s="184" t="n"/>
      <c r="K3" s="184" t="n"/>
      <c r="L3" s="184" t="n"/>
      <c r="M3" s="184" t="n"/>
      <c r="N3" s="184" t="n"/>
      <c r="O3" s="184" t="n"/>
      <c r="P3" s="184" t="n"/>
      <c r="Q3" s="184" t="n"/>
      <c r="R3" s="184" t="n"/>
      <c r="S3" s="185" t="n"/>
    </row>
    <row r="4" ht="14.25" customHeight="1" thickBot="1">
      <c r="A4" s="218" t="n"/>
      <c r="B4" s="219" t="n"/>
      <c r="C4" s="197" t="n"/>
      <c r="D4" s="197" t="n"/>
      <c r="E4" s="197" t="n"/>
      <c r="F4" s="197" t="n"/>
      <c r="G4" s="197" t="n"/>
      <c r="H4" s="197" t="n"/>
      <c r="I4" s="197" t="n"/>
      <c r="J4" s="197" t="n"/>
      <c r="K4" s="197" t="n"/>
      <c r="L4" s="197" t="n"/>
      <c r="M4" s="197" t="n"/>
      <c r="N4" s="197" t="n"/>
      <c r="O4" s="197" t="n"/>
      <c r="P4" s="197" t="n"/>
      <c r="Q4" s="197" t="n"/>
      <c r="R4" s="197" t="n"/>
      <c r="S4" s="199" t="n"/>
    </row>
    <row r="5" ht="13.8" customHeight="1" thickBot="1">
      <c r="A5" s="220" t="inlineStr">
        <is>
          <t>GERAL</t>
        </is>
      </c>
      <c r="B5" s="221" t="n"/>
      <c r="C5" s="221" t="n"/>
      <c r="D5" s="221" t="n"/>
      <c r="E5" s="221" t="n"/>
      <c r="F5" s="221" t="n"/>
      <c r="G5" s="222" t="n"/>
      <c r="H5" s="220" t="inlineStr">
        <is>
          <t>VÁLVULA SOLENÓIDE</t>
        </is>
      </c>
      <c r="I5" s="221" t="n"/>
      <c r="J5" s="221" t="n"/>
      <c r="K5" s="221" t="n"/>
      <c r="L5" s="221" t="n"/>
      <c r="M5" s="221" t="n"/>
      <c r="N5" s="221" t="n"/>
      <c r="O5" s="221" t="n"/>
      <c r="P5" s="221" t="n"/>
      <c r="Q5" s="221" t="n"/>
      <c r="R5" s="221" t="n"/>
      <c r="S5" s="222" t="n"/>
    </row>
    <row r="6">
      <c r="A6" s="17" t="inlineStr">
        <is>
          <t>TAG / Quantidade</t>
        </is>
      </c>
      <c r="B6" s="167" t="inlineStr">
        <is>
          <t>XV-1710.3</t>
        </is>
      </c>
      <c r="C6" s="181" t="n"/>
      <c r="D6" s="181" t="n"/>
      <c r="E6" s="181" t="n"/>
      <c r="F6" s="181" t="n"/>
      <c r="G6" s="181" t="n"/>
      <c r="H6" s="18" t="inlineStr">
        <is>
          <t>TAG</t>
        </is>
      </c>
      <c r="I6" s="212" t="n"/>
      <c r="J6" s="212" t="n"/>
      <c r="K6" s="212" t="n"/>
      <c r="L6" s="212" t="n"/>
      <c r="M6" s="213" t="n"/>
      <c r="N6" s="223" t="n"/>
      <c r="O6" s="173" t="n"/>
      <c r="P6" s="173" t="n"/>
      <c r="Q6" s="173" t="n"/>
      <c r="R6" s="173" t="n"/>
      <c r="S6" s="177" t="n"/>
    </row>
    <row r="7">
      <c r="A7" s="3" t="inlineStr">
        <is>
          <t>Função</t>
        </is>
      </c>
      <c r="B7" s="158" t="n"/>
      <c r="C7" s="205" t="n"/>
      <c r="D7" s="205" t="n"/>
      <c r="E7" s="205" t="n"/>
      <c r="F7" s="205" t="n"/>
      <c r="G7" s="205" t="n"/>
      <c r="H7" s="3" t="inlineStr">
        <is>
          <t>Tipo</t>
        </is>
      </c>
      <c r="I7" s="205" t="n"/>
      <c r="J7" s="205" t="n"/>
      <c r="K7" s="205" t="n"/>
      <c r="L7" s="205" t="n"/>
      <c r="M7" s="206" t="n"/>
      <c r="N7" s="224" t="n"/>
      <c r="O7" s="184" t="n"/>
      <c r="P7" s="184" t="n"/>
      <c r="Q7" s="184" t="n"/>
      <c r="R7" s="184" t="n"/>
      <c r="S7" s="185" t="n"/>
    </row>
    <row r="8">
      <c r="A8" s="4" t="inlineStr">
        <is>
          <t>Fluxograma</t>
        </is>
      </c>
      <c r="B8" s="158" t="inlineStr">
        <is>
          <t>PHS2-PR27-1701-FL.04 REV.00N</t>
        </is>
      </c>
      <c r="C8" s="205" t="n"/>
      <c r="D8" s="205" t="n"/>
      <c r="E8" s="205" t="n"/>
      <c r="F8" s="205" t="n"/>
      <c r="G8" s="205" t="n"/>
      <c r="H8" s="3" t="inlineStr">
        <is>
          <t>Número de vias/posições</t>
        </is>
      </c>
      <c r="I8" s="205" t="n"/>
      <c r="J8" s="205" t="n"/>
      <c r="K8" s="205" t="n"/>
      <c r="L8" s="205" t="n"/>
      <c r="M8" s="206" t="n"/>
      <c r="N8" s="224" t="n"/>
      <c r="O8" s="184" t="n"/>
      <c r="P8" s="184" t="n"/>
      <c r="Q8" s="184" t="n"/>
      <c r="R8" s="184" t="n"/>
      <c r="S8" s="185" t="n"/>
    </row>
    <row r="9">
      <c r="A9" s="3" t="inlineStr">
        <is>
          <t>Bitola da linha</t>
        </is>
      </c>
      <c r="B9" s="158" t="n"/>
      <c r="C9" s="205" t="n"/>
      <c r="D9" s="205" t="n"/>
      <c r="E9" s="205" t="n"/>
      <c r="F9" s="205" t="n"/>
      <c r="G9" s="205" t="n"/>
      <c r="H9" s="3" t="inlineStr">
        <is>
          <t>Material do corpo</t>
        </is>
      </c>
      <c r="I9" s="205" t="n"/>
      <c r="J9" s="205" t="n"/>
      <c r="K9" s="205" t="n"/>
      <c r="L9" s="205" t="n"/>
      <c r="M9" s="206" t="n"/>
      <c r="N9" s="224" t="n"/>
      <c r="O9" s="184" t="n"/>
      <c r="P9" s="184" t="n"/>
      <c r="Q9" s="184" t="n"/>
      <c r="R9" s="184" t="n"/>
      <c r="S9" s="185" t="n"/>
    </row>
    <row r="10">
      <c r="A10" s="3" t="inlineStr">
        <is>
          <t>Tipo do corpo</t>
        </is>
      </c>
      <c r="B10" s="158" t="inlineStr">
        <is>
          <t>ESFERA AUTOMÁTICA</t>
        </is>
      </c>
      <c r="C10" s="205" t="n"/>
      <c r="D10" s="205" t="n"/>
      <c r="E10" s="205" t="n"/>
      <c r="F10" s="205" t="n"/>
      <c r="G10" s="205" t="n"/>
      <c r="H10" s="3" t="inlineStr">
        <is>
          <t>Classe da bobina</t>
        </is>
      </c>
      <c r="I10" s="205" t="n"/>
      <c r="J10" s="205" t="n"/>
      <c r="K10" s="205" t="n"/>
      <c r="L10" s="205" t="n"/>
      <c r="M10" s="206" t="n"/>
      <c r="N10" s="224" t="n"/>
      <c r="O10" s="184" t="n"/>
      <c r="P10" s="184" t="n"/>
      <c r="Q10" s="184" t="n"/>
      <c r="R10" s="184" t="n"/>
      <c r="S10" s="185" t="n"/>
    </row>
    <row r="11">
      <c r="A11" s="3" t="inlineStr">
        <is>
          <t>Material do corpo</t>
        </is>
      </c>
      <c r="B11" s="158" t="n"/>
      <c r="C11" s="205" t="n"/>
      <c r="D11" s="205" t="n"/>
      <c r="E11" s="205" t="n"/>
      <c r="F11" s="205" t="n"/>
      <c r="G11" s="205" t="n"/>
      <c r="H11" s="3" t="inlineStr">
        <is>
          <t>Número de bobinas</t>
        </is>
      </c>
      <c r="I11" s="205" t="n"/>
      <c r="J11" s="205" t="n"/>
      <c r="K11" s="205" t="n"/>
      <c r="L11" s="205" t="n"/>
      <c r="M11" s="206" t="n"/>
      <c r="N11" s="224" t="n"/>
      <c r="O11" s="184" t="n"/>
      <c r="P11" s="184" t="n"/>
      <c r="Q11" s="184" t="n"/>
      <c r="R11" s="184" t="n"/>
      <c r="S11" s="185" t="n"/>
    </row>
    <row r="12">
      <c r="A12" s="3" t="inlineStr">
        <is>
          <t>Diâmetro da válvula</t>
        </is>
      </c>
      <c r="B12" s="158" t="inlineStr">
        <is>
          <t>-</t>
        </is>
      </c>
      <c r="C12" s="205" t="n"/>
      <c r="D12" s="205" t="n"/>
      <c r="E12" s="205" t="n"/>
      <c r="F12" s="205" t="n"/>
      <c r="G12" s="205" t="n"/>
      <c r="H12" s="3" t="inlineStr">
        <is>
          <t>Conexão elétrica</t>
        </is>
      </c>
      <c r="I12" s="205" t="n"/>
      <c r="J12" s="205" t="n"/>
      <c r="K12" s="205" t="n"/>
      <c r="L12" s="205" t="n"/>
      <c r="M12" s="206" t="n"/>
      <c r="N12" s="224" t="n"/>
      <c r="O12" s="184" t="n"/>
      <c r="P12" s="184" t="n"/>
      <c r="Q12" s="184" t="n"/>
      <c r="R12" s="184" t="n"/>
      <c r="S12" s="185" t="n"/>
    </row>
    <row r="13">
      <c r="A13" s="3" t="inlineStr">
        <is>
          <t>Conexões e faceamento</t>
        </is>
      </c>
      <c r="B13" s="148" t="n"/>
      <c r="C13" s="205" t="n"/>
      <c r="D13" s="205" t="n"/>
      <c r="E13" s="205" t="n"/>
      <c r="F13" s="205" t="n"/>
      <c r="G13" s="205" t="n"/>
      <c r="H13" s="3" t="inlineStr">
        <is>
          <t>Conexão pneumática</t>
        </is>
      </c>
      <c r="I13" s="205" t="n"/>
      <c r="J13" s="205" t="n"/>
      <c r="K13" s="205" t="n"/>
      <c r="L13" s="205" t="n"/>
      <c r="M13" s="206" t="n"/>
      <c r="N13" s="224" t="n"/>
      <c r="O13" s="184" t="n"/>
      <c r="P13" s="184" t="n"/>
      <c r="Q13" s="184" t="n"/>
      <c r="R13" s="184" t="n"/>
      <c r="S13" s="185" t="n"/>
    </row>
    <row r="14">
      <c r="A14" s="3" t="inlineStr">
        <is>
          <t>Castelo</t>
        </is>
      </c>
      <c r="B14" s="148" t="n"/>
      <c r="C14" s="205" t="n"/>
      <c r="D14" s="205" t="n"/>
      <c r="E14" s="205" t="n"/>
      <c r="F14" s="205" t="n"/>
      <c r="G14" s="205" t="n"/>
      <c r="H14" s="3" t="inlineStr">
        <is>
          <t>Classificação da área</t>
        </is>
      </c>
      <c r="I14" s="205" t="n"/>
      <c r="J14" s="205" t="n"/>
      <c r="K14" s="205" t="n"/>
      <c r="L14" s="205" t="n"/>
      <c r="M14" s="206" t="n"/>
      <c r="N14" s="224" t="n"/>
      <c r="O14" s="184" t="n"/>
      <c r="P14" s="184" t="n"/>
      <c r="Q14" s="184" t="n"/>
      <c r="R14" s="184" t="n"/>
      <c r="S14" s="185" t="n"/>
    </row>
    <row r="15" ht="13.8" customHeight="1" thickBot="1">
      <c r="A15" s="16" t="inlineStr">
        <is>
          <t>Classe de vedação</t>
        </is>
      </c>
      <c r="B15" s="150" t="n"/>
      <c r="C15" s="184" t="n"/>
      <c r="D15" s="184" t="n"/>
      <c r="E15" s="184" t="n"/>
      <c r="F15" s="184" t="n"/>
      <c r="G15" s="184" t="n"/>
      <c r="H15" s="6" t="inlineStr">
        <is>
          <t>Classificação do invólucro</t>
        </is>
      </c>
      <c r="I15" s="208" t="n"/>
      <c r="J15" s="208" t="n"/>
      <c r="K15" s="208" t="n"/>
      <c r="L15" s="208" t="n"/>
      <c r="M15" s="209" t="n"/>
      <c r="N15" s="225" t="n"/>
      <c r="O15" s="208" t="n"/>
      <c r="P15" s="208" t="n"/>
      <c r="Q15" s="208" t="n"/>
      <c r="R15" s="208" t="n"/>
      <c r="S15" s="226" t="n"/>
    </row>
    <row r="16" ht="13.8" customHeight="1" thickBot="1">
      <c r="A16" s="220" t="inlineStr">
        <is>
          <t>INTERNOS</t>
        </is>
      </c>
      <c r="B16" s="221" t="n"/>
      <c r="C16" s="221" t="n"/>
      <c r="D16" s="221" t="n"/>
      <c r="E16" s="221" t="n"/>
      <c r="F16" s="221" t="n"/>
      <c r="G16" s="222" t="n"/>
      <c r="H16" s="220" t="inlineStr">
        <is>
          <t>FINS DE CURSO</t>
        </is>
      </c>
      <c r="I16" s="221" t="n"/>
      <c r="J16" s="221" t="n"/>
      <c r="K16" s="221" t="n"/>
      <c r="L16" s="221" t="n"/>
      <c r="M16" s="221" t="n"/>
      <c r="N16" s="221" t="n"/>
      <c r="O16" s="221" t="n"/>
      <c r="P16" s="221" t="n"/>
      <c r="Q16" s="221" t="n"/>
      <c r="R16" s="221" t="n"/>
      <c r="S16" s="222" t="n"/>
      <c r="X16" s="69" t="n"/>
      <c r="Y16" s="69" t="n"/>
      <c r="Z16" s="69" t="n"/>
    </row>
    <row r="17">
      <c r="A17" s="18" t="inlineStr">
        <is>
          <t>Material das gaxetas</t>
        </is>
      </c>
      <c r="B17" s="227" t="n"/>
      <c r="C17" s="212" t="n"/>
      <c r="D17" s="212" t="n"/>
      <c r="E17" s="212" t="n"/>
      <c r="F17" s="212" t="n"/>
      <c r="G17" s="214" t="n"/>
      <c r="H17" s="146" t="inlineStr">
        <is>
          <t>TAG</t>
        </is>
      </c>
      <c r="I17" s="181" t="n"/>
      <c r="J17" s="181" t="n"/>
      <c r="K17" s="181" t="n"/>
      <c r="L17" s="181" t="n"/>
      <c r="M17" s="202" t="n"/>
      <c r="N17" s="228" t="n"/>
      <c r="S17" s="192" t="n"/>
      <c r="X17" s="69" t="n"/>
      <c r="Z17" s="69" t="n"/>
    </row>
    <row r="18">
      <c r="A18" s="3" t="inlineStr">
        <is>
          <t>Sede</t>
        </is>
      </c>
      <c r="B18" s="229" t="n"/>
      <c r="C18" s="205" t="n"/>
      <c r="D18" s="205" t="n"/>
      <c r="E18" s="205" t="n"/>
      <c r="F18" s="205" t="n"/>
      <c r="G18" s="216" t="n"/>
      <c r="H18" s="130" t="inlineStr">
        <is>
          <t>Tipo</t>
        </is>
      </c>
      <c r="I18" s="205" t="n"/>
      <c r="J18" s="205" t="n"/>
      <c r="K18" s="205" t="n"/>
      <c r="L18" s="205" t="n"/>
      <c r="M18" s="206" t="n"/>
      <c r="N18" s="224" t="n"/>
      <c r="O18" s="184" t="n"/>
      <c r="P18" s="184" t="n"/>
      <c r="Q18" s="184" t="n"/>
      <c r="R18" s="184" t="n"/>
      <c r="S18" s="185" t="n"/>
      <c r="X18" s="69" t="n"/>
      <c r="Z18" s="69" t="n"/>
    </row>
    <row r="19">
      <c r="A19" s="5" t="inlineStr">
        <is>
          <t>Material do disco</t>
        </is>
      </c>
      <c r="B19" s="229" t="n"/>
      <c r="C19" s="205" t="n"/>
      <c r="D19" s="205" t="n"/>
      <c r="E19" s="205" t="n"/>
      <c r="F19" s="205" t="n"/>
      <c r="G19" s="216" t="n"/>
      <c r="H19" s="130" t="inlineStr">
        <is>
          <t>Quantidade</t>
        </is>
      </c>
      <c r="I19" s="205" t="n"/>
      <c r="J19" s="205" t="n"/>
      <c r="K19" s="205" t="n"/>
      <c r="L19" s="205" t="n"/>
      <c r="M19" s="206" t="n"/>
      <c r="N19" s="224" t="n"/>
      <c r="O19" s="184" t="n"/>
      <c r="P19" s="184" t="n"/>
      <c r="Q19" s="184" t="n"/>
      <c r="R19" s="184" t="n"/>
      <c r="S19" s="185" t="n"/>
      <c r="X19" s="69" t="n"/>
      <c r="Z19" s="69" t="n"/>
    </row>
    <row r="20">
      <c r="A20" s="5" t="inlineStr">
        <is>
          <t>Material da haste</t>
        </is>
      </c>
      <c r="B20" s="229" t="n"/>
      <c r="C20" s="205" t="n"/>
      <c r="D20" s="205" t="n"/>
      <c r="E20" s="205" t="n"/>
      <c r="F20" s="205" t="n"/>
      <c r="G20" s="216" t="n"/>
      <c r="H20" s="130" t="inlineStr">
        <is>
          <t>Tipo dos contatos</t>
        </is>
      </c>
      <c r="I20" s="205" t="n"/>
      <c r="J20" s="205" t="n"/>
      <c r="K20" s="205" t="n"/>
      <c r="L20" s="205" t="n"/>
      <c r="M20" s="206" t="n"/>
      <c r="N20" s="224" t="n"/>
      <c r="O20" s="184" t="n"/>
      <c r="P20" s="184" t="n"/>
      <c r="Q20" s="184" t="n"/>
      <c r="R20" s="184" t="n"/>
      <c r="S20" s="185" t="n"/>
      <c r="X20" s="69" t="n"/>
      <c r="Z20" s="69" t="n"/>
    </row>
    <row r="21">
      <c r="A21" s="3" t="inlineStr">
        <is>
          <t>Obturador balanceado</t>
        </is>
      </c>
      <c r="B21" s="229" t="n"/>
      <c r="C21" s="205" t="n"/>
      <c r="D21" s="205" t="n"/>
      <c r="E21" s="205" t="n"/>
      <c r="F21" s="205" t="n"/>
      <c r="G21" s="216" t="n"/>
      <c r="H21" s="130" t="inlineStr">
        <is>
          <t>Conexão elétrica</t>
        </is>
      </c>
      <c r="I21" s="205" t="n"/>
      <c r="J21" s="205" t="n"/>
      <c r="K21" s="205" t="n"/>
      <c r="L21" s="205" t="n"/>
      <c r="M21" s="206" t="n"/>
      <c r="N21" s="224" t="n"/>
      <c r="O21" s="184" t="n"/>
      <c r="P21" s="184" t="n"/>
      <c r="Q21" s="184" t="n"/>
      <c r="R21" s="184" t="n"/>
      <c r="S21" s="185" t="n"/>
      <c r="X21" s="69" t="n"/>
      <c r="Z21" s="69" t="n"/>
    </row>
    <row r="22">
      <c r="A22" s="3" t="inlineStr">
        <is>
          <t>Direção do fluxo</t>
        </is>
      </c>
      <c r="B22" s="229" t="n"/>
      <c r="C22" s="205" t="n"/>
      <c r="D22" s="205" t="n"/>
      <c r="E22" s="205" t="n"/>
      <c r="F22" s="205" t="n"/>
      <c r="G22" s="216" t="n"/>
      <c r="H22" s="130" t="inlineStr">
        <is>
          <t>Classificação de área</t>
        </is>
      </c>
      <c r="I22" s="205" t="n"/>
      <c r="J22" s="205" t="n"/>
      <c r="K22" s="205" t="n"/>
      <c r="L22" s="205" t="n"/>
      <c r="M22" s="206" t="n"/>
      <c r="N22" s="224" t="n"/>
      <c r="O22" s="184" t="n"/>
      <c r="P22" s="184" t="n"/>
      <c r="Q22" s="184" t="n"/>
      <c r="R22" s="184" t="n"/>
      <c r="S22" s="185" t="n"/>
      <c r="X22" s="69" t="n"/>
      <c r="Z22" s="69" t="n"/>
    </row>
    <row r="23" ht="13.8" customHeight="1" thickBot="1">
      <c r="A23" s="6" t="inlineStr">
        <is>
          <t>Guias</t>
        </is>
      </c>
      <c r="B23" s="230" t="n"/>
      <c r="C23" s="208" t="n"/>
      <c r="D23" s="208" t="n"/>
      <c r="E23" s="208" t="n"/>
      <c r="F23" s="208" t="n"/>
      <c r="G23" s="226" t="n"/>
      <c r="H23" s="147" t="inlineStr">
        <is>
          <t>Classificação do invólucro</t>
        </is>
      </c>
      <c r="I23" s="184" t="n"/>
      <c r="J23" s="184" t="n"/>
      <c r="K23" s="184" t="n"/>
      <c r="L23" s="184" t="n"/>
      <c r="M23" s="231" t="n"/>
      <c r="N23" s="224" t="n"/>
      <c r="O23" s="184" t="n"/>
      <c r="P23" s="184" t="n"/>
      <c r="Q23" s="184" t="n"/>
      <c r="R23" s="184" t="n"/>
      <c r="S23" s="185" t="n"/>
      <c r="X23" s="69" t="n"/>
      <c r="Z23" s="69" t="n"/>
    </row>
    <row r="24" ht="13.8" customHeight="1" thickBot="1">
      <c r="A24" s="220" t="inlineStr">
        <is>
          <t>ATUADOR</t>
        </is>
      </c>
      <c r="B24" s="221" t="n"/>
      <c r="C24" s="221" t="n"/>
      <c r="D24" s="221" t="n"/>
      <c r="E24" s="221" t="n"/>
      <c r="F24" s="221" t="n"/>
      <c r="G24" s="222" t="n"/>
      <c r="H24" s="220" t="inlineStr">
        <is>
          <t>DADOS DE PROCESSO</t>
        </is>
      </c>
      <c r="I24" s="221" t="n"/>
      <c r="J24" s="221" t="n"/>
      <c r="K24" s="221" t="n"/>
      <c r="L24" s="221" t="n"/>
      <c r="M24" s="221" t="n"/>
      <c r="N24" s="221" t="n"/>
      <c r="O24" s="221" t="n"/>
      <c r="P24" s="221" t="n"/>
      <c r="Q24" s="221" t="n"/>
      <c r="R24" s="221" t="n"/>
      <c r="S24" s="222" t="n"/>
    </row>
    <row r="25">
      <c r="A25" s="17" t="inlineStr">
        <is>
          <t>Tipo</t>
        </is>
      </c>
      <c r="B25" s="152" t="n"/>
      <c r="C25" s="181" t="n"/>
      <c r="D25" s="181" t="n"/>
      <c r="E25" s="181" t="n"/>
      <c r="F25" s="181" t="n"/>
      <c r="G25" s="181" t="n"/>
      <c r="H25" s="18" t="inlineStr">
        <is>
          <t>Fluido</t>
        </is>
      </c>
      <c r="I25" s="212" t="n"/>
      <c r="J25" s="212" t="n"/>
      <c r="K25" s="212" t="n"/>
      <c r="L25" s="212" t="n"/>
      <c r="M25" s="213" t="n"/>
      <c r="N25" s="232" t="inlineStr">
        <is>
          <t>(NOTA 1)</t>
        </is>
      </c>
      <c r="O25" s="173" t="n"/>
      <c r="P25" s="173" t="n"/>
      <c r="Q25" s="173" t="n"/>
      <c r="R25" s="173" t="n"/>
      <c r="S25" s="177" t="n"/>
    </row>
    <row r="26">
      <c r="A26" s="3" t="inlineStr">
        <is>
          <t>Range</t>
        </is>
      </c>
      <c r="B26" s="148" t="n"/>
      <c r="C26" s="205" t="n"/>
      <c r="D26" s="205" t="n"/>
      <c r="E26" s="205" t="n"/>
      <c r="F26" s="205" t="n"/>
      <c r="G26" s="205" t="n"/>
      <c r="H26" s="3" t="inlineStr">
        <is>
          <t>Estado físico</t>
        </is>
      </c>
      <c r="I26" s="205" t="n"/>
      <c r="J26" s="205" t="n"/>
      <c r="K26" s="205" t="n"/>
      <c r="L26" s="205" t="n"/>
      <c r="M26" s="206" t="n"/>
      <c r="N26" s="233" t="n"/>
      <c r="O26" s="184" t="n"/>
      <c r="P26" s="184" t="n"/>
      <c r="Q26" s="184" t="n"/>
      <c r="R26" s="184" t="n"/>
      <c r="S26" s="185" t="n"/>
    </row>
    <row r="27">
      <c r="A27" s="3" t="inlineStr">
        <is>
          <t>Volante</t>
        </is>
      </c>
      <c r="B27" s="148" t="n"/>
      <c r="C27" s="205" t="n"/>
      <c r="D27" s="205" t="n"/>
      <c r="E27" s="205" t="n"/>
      <c r="F27" s="205" t="n"/>
      <c r="G27" s="205" t="n"/>
      <c r="H27" s="3" t="inlineStr">
        <is>
          <t>Pressão de entrada</t>
        </is>
      </c>
      <c r="I27" s="205" t="n"/>
      <c r="J27" s="205" t="n"/>
      <c r="K27" s="205" t="n"/>
      <c r="L27" s="205" t="n"/>
      <c r="M27" s="206" t="n"/>
      <c r="N27" s="233" t="inlineStr">
        <is>
          <t>-</t>
        </is>
      </c>
      <c r="O27" s="184" t="n"/>
      <c r="P27" s="184" t="n"/>
      <c r="Q27" s="184" t="n"/>
      <c r="R27" s="184" t="n"/>
      <c r="S27" s="185" t="n"/>
    </row>
    <row r="28">
      <c r="A28" s="3" t="inlineStr">
        <is>
          <t>Ação em caso de falha</t>
        </is>
      </c>
      <c r="B28" s="148" t="n"/>
      <c r="C28" s="205" t="n"/>
      <c r="D28" s="205" t="n"/>
      <c r="E28" s="205" t="n"/>
      <c r="F28" s="205" t="n"/>
      <c r="G28" s="205" t="n"/>
      <c r="H28" s="3" t="inlineStr">
        <is>
          <t>Pressão de saída</t>
        </is>
      </c>
      <c r="I28" s="205" t="n"/>
      <c r="J28" s="205" t="n"/>
      <c r="K28" s="205" t="n"/>
      <c r="L28" s="205" t="n"/>
      <c r="M28" s="206" t="n"/>
      <c r="N28" s="233" t="n"/>
      <c r="O28" s="184" t="n"/>
      <c r="P28" s="184" t="n"/>
      <c r="Q28" s="184" t="n"/>
      <c r="R28" s="184" t="n"/>
      <c r="S28" s="185" t="n"/>
    </row>
    <row r="29" ht="13.8" customHeight="1" thickBot="1">
      <c r="A29" s="16" t="inlineStr">
        <is>
          <t>Pressão suprimento de ar (min/max)</t>
        </is>
      </c>
      <c r="B29" s="150" t="n"/>
      <c r="C29" s="184" t="n"/>
      <c r="D29" s="184" t="n"/>
      <c r="E29" s="184" t="n"/>
      <c r="F29" s="184" t="n"/>
      <c r="G29" s="184" t="n"/>
      <c r="H29" s="3" t="inlineStr">
        <is>
          <t>Viscosidade</t>
        </is>
      </c>
      <c r="I29" s="205" t="n"/>
      <c r="J29" s="205" t="n"/>
      <c r="K29" s="205" t="n"/>
      <c r="L29" s="205" t="n"/>
      <c r="M29" s="206" t="n"/>
      <c r="N29" s="233" t="inlineStr">
        <is>
          <t>&lt;50 cP</t>
        </is>
      </c>
      <c r="O29" s="184" t="n"/>
      <c r="P29" s="184" t="n"/>
      <c r="Q29" s="184" t="n"/>
      <c r="R29" s="184" t="n"/>
      <c r="S29" s="185" t="n"/>
    </row>
    <row r="30" ht="13.8" customHeight="1" thickBot="1">
      <c r="A30" s="142" t="inlineStr">
        <is>
          <t>POSICIONADOR</t>
        </is>
      </c>
      <c r="B30" s="221" t="n"/>
      <c r="C30" s="221" t="n"/>
      <c r="D30" s="221" t="n"/>
      <c r="E30" s="221" t="n"/>
      <c r="F30" s="221" t="n"/>
      <c r="G30" s="221" t="n"/>
      <c r="H30" s="3" t="inlineStr">
        <is>
          <t>Vazão normal</t>
        </is>
      </c>
      <c r="I30" s="205" t="n"/>
      <c r="J30" s="205" t="n"/>
      <c r="K30" s="205" t="n"/>
      <c r="L30" s="205" t="n"/>
      <c r="M30" s="206" t="n"/>
      <c r="N30" s="233" t="n"/>
      <c r="O30" s="184" t="n"/>
      <c r="P30" s="184" t="n"/>
      <c r="Q30" s="184" t="n"/>
      <c r="R30" s="184" t="n"/>
      <c r="S30" s="185" t="n"/>
    </row>
    <row r="31">
      <c r="A31" s="17" t="inlineStr">
        <is>
          <t>Tipo</t>
        </is>
      </c>
      <c r="B31" s="152" t="n"/>
      <c r="C31" s="181" t="n"/>
      <c r="D31" s="181" t="n"/>
      <c r="E31" s="181" t="n"/>
      <c r="F31" s="181" t="n"/>
      <c r="G31" s="181" t="n"/>
      <c r="H31" s="3" t="inlineStr">
        <is>
          <t>Vazão máxima</t>
        </is>
      </c>
      <c r="I31" s="205" t="n"/>
      <c r="J31" s="205" t="n"/>
      <c r="K31" s="205" t="n"/>
      <c r="L31" s="205" t="n"/>
      <c r="M31" s="206" t="n"/>
      <c r="N31" s="233" t="n"/>
      <c r="O31" s="184" t="n"/>
      <c r="P31" s="184" t="n"/>
      <c r="Q31" s="184" t="n"/>
      <c r="R31" s="184" t="n"/>
      <c r="S31" s="185" t="n"/>
    </row>
    <row r="32">
      <c r="A32" s="3" t="inlineStr">
        <is>
          <t>By-pass</t>
        </is>
      </c>
      <c r="B32" s="148" t="n"/>
      <c r="C32" s="205" t="n"/>
      <c r="D32" s="205" t="n"/>
      <c r="E32" s="205" t="n"/>
      <c r="F32" s="205" t="n"/>
      <c r="G32" s="205" t="n"/>
      <c r="H32" s="3" t="inlineStr">
        <is>
          <t>Vazão mínima</t>
        </is>
      </c>
      <c r="I32" s="205" t="n"/>
      <c r="J32" s="205" t="n"/>
      <c r="K32" s="205" t="n"/>
      <c r="L32" s="205" t="n"/>
      <c r="M32" s="206" t="n"/>
      <c r="N32" s="233" t="n"/>
      <c r="O32" s="184" t="n"/>
      <c r="P32" s="184" t="n"/>
      <c r="Q32" s="184" t="n"/>
      <c r="R32" s="184" t="n"/>
      <c r="S32" s="185" t="n"/>
    </row>
    <row r="33">
      <c r="A33" s="3" t="inlineStr">
        <is>
          <t>Manômetros quantidade</t>
        </is>
      </c>
      <c r="B33" s="148" t="n"/>
      <c r="C33" s="205" t="n"/>
      <c r="D33" s="205" t="n"/>
      <c r="E33" s="205" t="n"/>
      <c r="F33" s="205" t="n"/>
      <c r="G33" s="205" t="n"/>
      <c r="H33" s="3" t="inlineStr">
        <is>
          <t>Pressão shut off</t>
        </is>
      </c>
      <c r="I33" s="205" t="n"/>
      <c r="J33" s="205" t="n"/>
      <c r="K33" s="205" t="n"/>
      <c r="L33" s="205" t="n"/>
      <c r="M33" s="206" t="n"/>
      <c r="N33" s="233" t="n"/>
      <c r="O33" s="184" t="n"/>
      <c r="P33" s="184" t="n"/>
      <c r="Q33" s="184" t="n"/>
      <c r="R33" s="184" t="n"/>
      <c r="S33" s="185" t="n"/>
    </row>
    <row r="34">
      <c r="A34" s="3" t="inlineStr">
        <is>
          <t>Sinal de entrada</t>
        </is>
      </c>
      <c r="B34" s="148" t="n"/>
      <c r="C34" s="205" t="n"/>
      <c r="D34" s="205" t="n"/>
      <c r="E34" s="205" t="n"/>
      <c r="F34" s="205" t="n"/>
      <c r="G34" s="205" t="n"/>
      <c r="H34" s="3" t="inlineStr">
        <is>
          <t>Temperatura máxima</t>
        </is>
      </c>
      <c r="I34" s="205" t="n"/>
      <c r="J34" s="205" t="n"/>
      <c r="K34" s="205" t="n"/>
      <c r="L34" s="205" t="n"/>
      <c r="M34" s="206" t="n"/>
      <c r="N34" s="233" t="inlineStr">
        <is>
          <t>35</t>
        </is>
      </c>
      <c r="O34" s="184" t="n"/>
      <c r="P34" s="184" t="n"/>
      <c r="Q34" s="184" t="n"/>
      <c r="R34" s="184" t="n"/>
      <c r="S34" s="185" t="n"/>
    </row>
    <row r="35">
      <c r="A35" s="3" t="inlineStr">
        <is>
          <t>Sial de saída</t>
        </is>
      </c>
      <c r="B35" s="148" t="n"/>
      <c r="C35" s="205" t="n"/>
      <c r="D35" s="205" t="n"/>
      <c r="E35" s="205" t="n"/>
      <c r="F35" s="205" t="n"/>
      <c r="G35" s="205" t="n"/>
      <c r="H35" s="3" t="inlineStr">
        <is>
          <t>Temperatura normal</t>
        </is>
      </c>
      <c r="I35" s="205" t="n"/>
      <c r="J35" s="205" t="n"/>
      <c r="K35" s="205" t="n"/>
      <c r="L35" s="205" t="n"/>
      <c r="M35" s="206" t="n"/>
      <c r="N35" s="233" t="n"/>
      <c r="O35" s="184" t="n"/>
      <c r="P35" s="184" t="n"/>
      <c r="Q35" s="184" t="n"/>
      <c r="R35" s="184" t="n"/>
      <c r="S35" s="185" t="n"/>
    </row>
    <row r="36">
      <c r="A36" s="3" t="inlineStr">
        <is>
          <t>Característica do came</t>
        </is>
      </c>
      <c r="B36" s="148" t="n"/>
      <c r="C36" s="205" t="n"/>
      <c r="D36" s="205" t="n"/>
      <c r="E36" s="205" t="n"/>
      <c r="F36" s="205" t="n"/>
      <c r="G36" s="205" t="n"/>
      <c r="H36" s="3" t="inlineStr">
        <is>
          <t>Massa específica</t>
        </is>
      </c>
      <c r="I36" s="205" t="n"/>
      <c r="J36" s="205" t="n"/>
      <c r="K36" s="205" t="n"/>
      <c r="L36" s="205" t="n"/>
      <c r="M36" s="206" t="n"/>
      <c r="N36" s="233" t="inlineStr">
        <is>
          <t>1120 kg/m³</t>
        </is>
      </c>
      <c r="O36" s="184" t="n"/>
      <c r="P36" s="184" t="n"/>
      <c r="Q36" s="184" t="n"/>
      <c r="R36" s="184" t="n"/>
      <c r="S36" s="185" t="n"/>
    </row>
    <row r="37" ht="13.8" customHeight="1" thickBot="1">
      <c r="A37" s="16" t="inlineStr">
        <is>
          <t>Alimentação de ar</t>
        </is>
      </c>
      <c r="B37" s="150" t="n"/>
      <c r="C37" s="184" t="n"/>
      <c r="D37" s="184" t="n"/>
      <c r="E37" s="184" t="n"/>
      <c r="F37" s="184" t="n"/>
      <c r="G37" s="184" t="n"/>
      <c r="H37" s="3" t="inlineStr">
        <is>
          <t>Cv calculado (máximo) / % abertura</t>
        </is>
      </c>
      <c r="I37" s="205" t="n"/>
      <c r="J37" s="205" t="n"/>
      <c r="K37" s="205" t="n"/>
      <c r="L37" s="205" t="n"/>
      <c r="M37" s="206" t="n"/>
      <c r="N37" s="224" t="n"/>
      <c r="O37" s="184" t="n"/>
      <c r="P37" s="184" t="n"/>
      <c r="Q37" s="184" t="n"/>
      <c r="R37" s="184" t="n"/>
      <c r="S37" s="185" t="n"/>
    </row>
    <row r="38" ht="13.8" customHeight="1" thickBot="1">
      <c r="A38" s="142" t="inlineStr">
        <is>
          <t>ACESSÓRIOS</t>
        </is>
      </c>
      <c r="B38" s="221" t="n"/>
      <c r="C38" s="221" t="n"/>
      <c r="D38" s="221" t="n"/>
      <c r="E38" s="221" t="n"/>
      <c r="F38" s="221" t="n"/>
      <c r="G38" s="221" t="n"/>
      <c r="H38" s="3" t="inlineStr">
        <is>
          <t>Cv calculado (normal) / % abertura</t>
        </is>
      </c>
      <c r="I38" s="205" t="n"/>
      <c r="J38" s="205" t="n"/>
      <c r="K38" s="205" t="n"/>
      <c r="L38" s="205" t="n"/>
      <c r="M38" s="206" t="n"/>
      <c r="N38" s="224" t="n"/>
      <c r="O38" s="184" t="n"/>
      <c r="P38" s="184" t="n"/>
      <c r="Q38" s="184" t="n"/>
      <c r="R38" s="184" t="n"/>
      <c r="S38" s="185" t="n"/>
    </row>
    <row r="39">
      <c r="A39" s="17" t="inlineStr">
        <is>
          <t>Filtro / Filtro regulador</t>
        </is>
      </c>
      <c r="B39" s="152" t="n"/>
      <c r="C39" s="181" t="n"/>
      <c r="D39" s="181" t="n"/>
      <c r="E39" s="181" t="n"/>
      <c r="F39" s="181" t="n"/>
      <c r="G39" s="181" t="n"/>
      <c r="H39" s="3" t="inlineStr">
        <is>
          <t>Cv calculado (mínimo) / % abertura</t>
        </is>
      </c>
      <c r="I39" s="205" t="n"/>
      <c r="J39" s="205" t="n"/>
      <c r="K39" s="205" t="n"/>
      <c r="L39" s="205" t="n"/>
      <c r="M39" s="206" t="n"/>
      <c r="N39" s="224" t="n"/>
      <c r="O39" s="184" t="n"/>
      <c r="P39" s="184" t="n"/>
      <c r="Q39" s="184" t="n"/>
      <c r="R39" s="184" t="n"/>
      <c r="S39" s="185" t="n"/>
    </row>
    <row r="40">
      <c r="A40" s="3" t="inlineStr">
        <is>
          <t>Manômetro para o regulador</t>
        </is>
      </c>
      <c r="B40" s="148" t="n"/>
      <c r="C40" s="205" t="n"/>
      <c r="D40" s="205" t="n"/>
      <c r="E40" s="205" t="n"/>
      <c r="F40" s="205" t="n"/>
      <c r="G40" s="205" t="n"/>
      <c r="H40" s="3" t="inlineStr">
        <is>
          <t>Cv selecionado</t>
        </is>
      </c>
      <c r="I40" s="205" t="n"/>
      <c r="J40" s="205" t="n"/>
      <c r="K40" s="205" t="n"/>
      <c r="L40" s="205" t="n"/>
      <c r="M40" s="206" t="n"/>
      <c r="N40" s="224" t="n"/>
      <c r="O40" s="184" t="n"/>
      <c r="P40" s="184" t="n"/>
      <c r="Q40" s="184" t="n"/>
      <c r="R40" s="184" t="n"/>
      <c r="S40" s="185" t="n"/>
    </row>
    <row r="41" ht="13.8" customHeight="1" thickBot="1">
      <c r="A41" s="6" t="inlineStr">
        <is>
          <t>Posição do volante</t>
        </is>
      </c>
      <c r="B41" s="154" t="n"/>
      <c r="C41" s="208" t="n"/>
      <c r="D41" s="208" t="n"/>
      <c r="E41" s="208" t="n"/>
      <c r="F41" s="208" t="n"/>
      <c r="G41" s="208" t="n"/>
      <c r="H41" s="6" t="inlineStr">
        <is>
          <t>Nível de ruído</t>
        </is>
      </c>
      <c r="I41" s="208" t="n"/>
      <c r="J41" s="208" t="n"/>
      <c r="K41" s="208" t="n"/>
      <c r="L41" s="208" t="n"/>
      <c r="M41" s="209" t="n"/>
      <c r="N41" s="225" t="n"/>
      <c r="O41" s="208" t="n"/>
      <c r="P41" s="208" t="n"/>
      <c r="Q41" s="208" t="n"/>
      <c r="R41" s="208" t="n"/>
      <c r="S41" s="226" t="n"/>
    </row>
    <row r="42">
      <c r="A42" s="234" t="inlineStr">
        <is>
          <t>Notas:</t>
        </is>
      </c>
      <c r="B42" s="173" t="n"/>
      <c r="C42" s="173" t="n"/>
      <c r="D42" s="173" t="n"/>
      <c r="E42" s="173" t="n"/>
      <c r="F42" s="173" t="n"/>
      <c r="G42" s="173" t="n"/>
      <c r="H42" s="173" t="n"/>
      <c r="I42" s="173" t="n"/>
      <c r="J42" s="173" t="n"/>
      <c r="K42" s="173" t="n"/>
      <c r="L42" s="173" t="n"/>
      <c r="M42" s="173" t="n"/>
      <c r="N42" s="173" t="n"/>
      <c r="O42" s="173" t="n"/>
      <c r="P42" s="173" t="n"/>
      <c r="Q42" s="173" t="n"/>
      <c r="R42" s="173" t="n"/>
      <c r="S42" s="177" t="n"/>
    </row>
    <row r="43" ht="13.8" customHeight="1" thickBot="1">
      <c r="A43" s="235" t="inlineStr">
        <is>
          <t>(NOTA 1): CRESTIVO (A16003E); BIRK 25% (A25191A); BIRTEA; CRESTIVO DUO</t>
        </is>
      </c>
      <c r="B43" s="197" t="n"/>
      <c r="C43" s="197" t="n"/>
      <c r="D43" s="197" t="n"/>
      <c r="E43" s="197" t="n"/>
      <c r="F43" s="197" t="n"/>
      <c r="G43" s="197" t="n"/>
      <c r="H43" s="197" t="n"/>
      <c r="I43" s="197" t="n"/>
      <c r="J43" s="197" t="n"/>
      <c r="K43" s="197" t="n"/>
      <c r="L43" s="197" t="n"/>
      <c r="M43" s="197" t="n"/>
      <c r="N43" s="197" t="n"/>
      <c r="O43" s="197" t="n"/>
      <c r="P43" s="197" t="n"/>
      <c r="Q43" s="197" t="n"/>
      <c r="R43" s="197" t="n"/>
      <c r="S43" s="199" t="n"/>
    </row>
    <row r="44">
      <c r="A44" s="7" t="n"/>
    </row>
    <row r="45">
      <c r="A45" s="2" t="n"/>
    </row>
    <row r="46">
      <c r="A46" s="2" t="n"/>
    </row>
    <row r="47">
      <c r="A47" s="2" t="n"/>
    </row>
    <row r="48">
      <c r="A48" s="2" t="n"/>
    </row>
    <row r="49">
      <c r="A49" s="2" t="n"/>
    </row>
    <row r="50">
      <c r="A50" s="2" t="n"/>
    </row>
    <row r="51">
      <c r="A51" s="2" t="n"/>
    </row>
    <row r="52">
      <c r="A52" s="2" t="n"/>
    </row>
    <row r="53">
      <c r="A53" s="2" t="n"/>
    </row>
    <row r="54">
      <c r="A54" s="2" t="n"/>
    </row>
  </sheetData>
  <mergeCells count="116">
    <mergeCell ref="H21:M21"/>
    <mergeCell ref="N23:S23"/>
    <mergeCell ref="B8:G8"/>
    <mergeCell ref="N18:S18"/>
    <mergeCell ref="A1:A4"/>
    <mergeCell ref="N8:S8"/>
    <mergeCell ref="H7:M7"/>
    <mergeCell ref="B10:G10"/>
    <mergeCell ref="N10:S10"/>
    <mergeCell ref="A30:G30"/>
    <mergeCell ref="H27:M27"/>
    <mergeCell ref="N34:S34"/>
    <mergeCell ref="H33:M33"/>
    <mergeCell ref="B36:G36"/>
    <mergeCell ref="N27:S27"/>
    <mergeCell ref="H5:S5"/>
    <mergeCell ref="N36:S36"/>
    <mergeCell ref="H35:M35"/>
    <mergeCell ref="N11:S11"/>
    <mergeCell ref="N20:S20"/>
    <mergeCell ref="B22:G22"/>
    <mergeCell ref="B31:G31"/>
    <mergeCell ref="N22:S22"/>
    <mergeCell ref="H9:M9"/>
    <mergeCell ref="B12:G12"/>
    <mergeCell ref="H39:M39"/>
    <mergeCell ref="B21:G21"/>
    <mergeCell ref="B39:G39"/>
    <mergeCell ref="N12:S12"/>
    <mergeCell ref="N21:S21"/>
    <mergeCell ref="B14:G14"/>
    <mergeCell ref="B23:G23"/>
    <mergeCell ref="N14:S14"/>
    <mergeCell ref="B13:G13"/>
    <mergeCell ref="A43:S43"/>
    <mergeCell ref="N38:S38"/>
    <mergeCell ref="H16:S16"/>
    <mergeCell ref="H32:M32"/>
    <mergeCell ref="H13:M13"/>
    <mergeCell ref="N40:S40"/>
    <mergeCell ref="B33:G33"/>
    <mergeCell ref="H15:M15"/>
    <mergeCell ref="H18:M18"/>
    <mergeCell ref="B41:G41"/>
    <mergeCell ref="B35:G35"/>
    <mergeCell ref="C2:S2"/>
    <mergeCell ref="H8:M8"/>
    <mergeCell ref="N26:S26"/>
    <mergeCell ref="N35:S35"/>
    <mergeCell ref="H26:M26"/>
    <mergeCell ref="B25:G25"/>
    <mergeCell ref="N25:S25"/>
    <mergeCell ref="H10:M10"/>
    <mergeCell ref="H41:M41"/>
    <mergeCell ref="B27:G27"/>
    <mergeCell ref="H34:M34"/>
    <mergeCell ref="H25:M25"/>
    <mergeCell ref="B11:G11"/>
    <mergeCell ref="A5:G5"/>
    <mergeCell ref="A42:S42"/>
    <mergeCell ref="H36:M36"/>
    <mergeCell ref="A38:G38"/>
    <mergeCell ref="H17:M17"/>
    <mergeCell ref="N39:S39"/>
    <mergeCell ref="H11:M11"/>
    <mergeCell ref="B29:G29"/>
    <mergeCell ref="N29:S29"/>
    <mergeCell ref="H19:M19"/>
    <mergeCell ref="H28:M28"/>
    <mergeCell ref="H37:M37"/>
    <mergeCell ref="A24:G24"/>
    <mergeCell ref="N13:S13"/>
    <mergeCell ref="B40:G40"/>
    <mergeCell ref="H12:M12"/>
    <mergeCell ref="N31:S31"/>
    <mergeCell ref="B15:G15"/>
    <mergeCell ref="J1:S1"/>
    <mergeCell ref="N6:S6"/>
    <mergeCell ref="N15:S15"/>
    <mergeCell ref="H24:S24"/>
    <mergeCell ref="H14:M14"/>
    <mergeCell ref="B32:G32"/>
    <mergeCell ref="H23:M23"/>
    <mergeCell ref="A16:G16"/>
    <mergeCell ref="B26:G26"/>
    <mergeCell ref="Y16:Y23"/>
    <mergeCell ref="B7:G7"/>
    <mergeCell ref="H38:M38"/>
    <mergeCell ref="N32:S32"/>
    <mergeCell ref="N7:S7"/>
    <mergeCell ref="N41:S41"/>
    <mergeCell ref="H40:M40"/>
    <mergeCell ref="B18:G18"/>
    <mergeCell ref="N33:S33"/>
    <mergeCell ref="B17:G17"/>
    <mergeCell ref="N17:S17"/>
    <mergeCell ref="B19:G19"/>
    <mergeCell ref="B34:G34"/>
    <mergeCell ref="B28:G28"/>
    <mergeCell ref="B37:G37"/>
    <mergeCell ref="N19:S19"/>
    <mergeCell ref="H22:M22"/>
    <mergeCell ref="B9:G9"/>
    <mergeCell ref="N28:S28"/>
    <mergeCell ref="N9:S9"/>
    <mergeCell ref="B6:G6"/>
    <mergeCell ref="B20:G20"/>
    <mergeCell ref="N30:S30"/>
    <mergeCell ref="B3:S4"/>
    <mergeCell ref="H30:M30"/>
    <mergeCell ref="H20:M20"/>
    <mergeCell ref="H29:M29"/>
    <mergeCell ref="B1:H1"/>
    <mergeCell ref="N37:S37"/>
    <mergeCell ref="H31:M31"/>
    <mergeCell ref="H6:M6"/>
  </mergeCells>
  <pageMargins left="0.25" right="0.25" top="0.75" bottom="0.75" header="0.3" footer="0.3"/>
  <pageSetup orientation="portrait" paperSize="9" scale="82"/>
</worksheet>
</file>

<file path=xl/worksheets/sheet8.xml><?xml version="1.0" encoding="utf-8"?>
<worksheet xmlns="http://schemas.openxmlformats.org/spreadsheetml/2006/main">
  <sheetPr codeName="Planilha2">
    <outlinePr summaryBelow="1" summaryRight="1"/>
    <pageSetUpPr fitToPage="1"/>
  </sheetPr>
  <dimension ref="A1:Z54"/>
  <sheetViews>
    <sheetView workbookViewId="0">
      <selection activeCell="A1" sqref="A1"/>
    </sheetView>
  </sheetViews>
  <sheetFormatPr baseColWidth="8" defaultRowHeight="13.2"/>
  <cols>
    <col width="35.109375" bestFit="1" customWidth="1" style="137" min="1" max="1"/>
    <col width="4.88671875" customWidth="1" style="137" min="2" max="19"/>
  </cols>
  <sheetData>
    <row r="1" ht="14.25" customHeight="1">
      <c r="A1" s="210">
        <f>_xlfn.IMAGE("https://technikgrupo.sharepoint.com/sites/transfer/Logos/Technik.png")</f>
        <v/>
      </c>
      <c r="B1" s="211" t="inlineStr">
        <is>
          <t>FOLHA DE DADOS</t>
        </is>
      </c>
      <c r="C1" s="212" t="n"/>
      <c r="D1" s="212" t="n"/>
      <c r="E1" s="212" t="n"/>
      <c r="F1" s="212" t="n"/>
      <c r="G1" s="212" t="n"/>
      <c r="H1" s="213" t="n"/>
      <c r="I1" s="19" t="inlineStr">
        <is>
          <t>Nº.:</t>
        </is>
      </c>
      <c r="J1" s="166">
        <f>"FD-"&amp;Config!D2&amp;"-"&amp;Config!F2&amp;"-001"</f>
        <v/>
      </c>
      <c r="K1" s="212" t="n"/>
      <c r="L1" s="212" t="n"/>
      <c r="M1" s="212" t="n"/>
      <c r="N1" s="212" t="n"/>
      <c r="O1" s="212" t="n"/>
      <c r="P1" s="212" t="n"/>
      <c r="Q1" s="212" t="n"/>
      <c r="R1" s="212" t="n"/>
      <c r="S1" s="214" t="n"/>
    </row>
    <row r="2" ht="14.25" customHeight="1">
      <c r="A2" s="215" t="n"/>
      <c r="B2" s="20" t="inlineStr">
        <is>
          <t>ÁREA:</t>
        </is>
      </c>
      <c r="C2" s="164" t="inlineStr">
        <is>
          <t>PÁTIO D3</t>
        </is>
      </c>
      <c r="D2" s="205" t="n"/>
      <c r="E2" s="205" t="n"/>
      <c r="F2" s="205" t="n"/>
      <c r="G2" s="205" t="n"/>
      <c r="H2" s="205" t="n"/>
      <c r="I2" s="205" t="n"/>
      <c r="J2" s="205" t="n"/>
      <c r="K2" s="205" t="n"/>
      <c r="L2" s="205" t="n"/>
      <c r="M2" s="205" t="n"/>
      <c r="N2" s="205" t="n"/>
      <c r="O2" s="205" t="n"/>
      <c r="P2" s="205" t="n"/>
      <c r="Q2" s="205" t="n"/>
      <c r="R2" s="205" t="n"/>
      <c r="S2" s="216" t="n"/>
    </row>
    <row r="3" ht="14.25" customHeight="1">
      <c r="A3" s="215" t="n"/>
      <c r="B3" s="217" t="inlineStr">
        <is>
          <t>VÁLVULA ON OFF</t>
        </is>
      </c>
      <c r="C3" s="184" t="n"/>
      <c r="D3" s="184" t="n"/>
      <c r="E3" s="184" t="n"/>
      <c r="F3" s="184" t="n"/>
      <c r="G3" s="184" t="n"/>
      <c r="H3" s="184" t="n"/>
      <c r="I3" s="184" t="n"/>
      <c r="J3" s="184" t="n"/>
      <c r="K3" s="184" t="n"/>
      <c r="L3" s="184" t="n"/>
      <c r="M3" s="184" t="n"/>
      <c r="N3" s="184" t="n"/>
      <c r="O3" s="184" t="n"/>
      <c r="P3" s="184" t="n"/>
      <c r="Q3" s="184" t="n"/>
      <c r="R3" s="184" t="n"/>
      <c r="S3" s="185" t="n"/>
    </row>
    <row r="4" ht="14.25" customHeight="1" thickBot="1">
      <c r="A4" s="218" t="n"/>
      <c r="B4" s="219" t="n"/>
      <c r="C4" s="197" t="n"/>
      <c r="D4" s="197" t="n"/>
      <c r="E4" s="197" t="n"/>
      <c r="F4" s="197" t="n"/>
      <c r="G4" s="197" t="n"/>
      <c r="H4" s="197" t="n"/>
      <c r="I4" s="197" t="n"/>
      <c r="J4" s="197" t="n"/>
      <c r="K4" s="197" t="n"/>
      <c r="L4" s="197" t="n"/>
      <c r="M4" s="197" t="n"/>
      <c r="N4" s="197" t="n"/>
      <c r="O4" s="197" t="n"/>
      <c r="P4" s="197" t="n"/>
      <c r="Q4" s="197" t="n"/>
      <c r="R4" s="197" t="n"/>
      <c r="S4" s="199" t="n"/>
    </row>
    <row r="5" ht="13.8" customHeight="1" thickBot="1">
      <c r="A5" s="220" t="inlineStr">
        <is>
          <t>GERAL</t>
        </is>
      </c>
      <c r="B5" s="221" t="n"/>
      <c r="C5" s="221" t="n"/>
      <c r="D5" s="221" t="n"/>
      <c r="E5" s="221" t="n"/>
      <c r="F5" s="221" t="n"/>
      <c r="G5" s="222" t="n"/>
      <c r="H5" s="220" t="inlineStr">
        <is>
          <t>VÁLVULA SOLENÓIDE</t>
        </is>
      </c>
      <c r="I5" s="221" t="n"/>
      <c r="J5" s="221" t="n"/>
      <c r="K5" s="221" t="n"/>
      <c r="L5" s="221" t="n"/>
      <c r="M5" s="221" t="n"/>
      <c r="N5" s="221" t="n"/>
      <c r="O5" s="221" t="n"/>
      <c r="P5" s="221" t="n"/>
      <c r="Q5" s="221" t="n"/>
      <c r="R5" s="221" t="n"/>
      <c r="S5" s="222" t="n"/>
    </row>
    <row r="6">
      <c r="A6" s="17" t="inlineStr">
        <is>
          <t>TAG / Quantidade</t>
        </is>
      </c>
      <c r="B6" s="167" t="inlineStr">
        <is>
          <t>XV-1710.4</t>
        </is>
      </c>
      <c r="C6" s="181" t="n"/>
      <c r="D6" s="181" t="n"/>
      <c r="E6" s="181" t="n"/>
      <c r="F6" s="181" t="n"/>
      <c r="G6" s="181" t="n"/>
      <c r="H6" s="18" t="inlineStr">
        <is>
          <t>TAG</t>
        </is>
      </c>
      <c r="I6" s="212" t="n"/>
      <c r="J6" s="212" t="n"/>
      <c r="K6" s="212" t="n"/>
      <c r="L6" s="212" t="n"/>
      <c r="M6" s="213" t="n"/>
      <c r="N6" s="223" t="n"/>
      <c r="O6" s="173" t="n"/>
      <c r="P6" s="173" t="n"/>
      <c r="Q6" s="173" t="n"/>
      <c r="R6" s="173" t="n"/>
      <c r="S6" s="177" t="n"/>
    </row>
    <row r="7">
      <c r="A7" s="3" t="inlineStr">
        <is>
          <t>Função</t>
        </is>
      </c>
      <c r="B7" s="158" t="n"/>
      <c r="C7" s="205" t="n"/>
      <c r="D7" s="205" t="n"/>
      <c r="E7" s="205" t="n"/>
      <c r="F7" s="205" t="n"/>
      <c r="G7" s="205" t="n"/>
      <c r="H7" s="3" t="inlineStr">
        <is>
          <t>Tipo</t>
        </is>
      </c>
      <c r="I7" s="205" t="n"/>
      <c r="J7" s="205" t="n"/>
      <c r="K7" s="205" t="n"/>
      <c r="L7" s="205" t="n"/>
      <c r="M7" s="206" t="n"/>
      <c r="N7" s="224" t="n"/>
      <c r="O7" s="184" t="n"/>
      <c r="P7" s="184" t="n"/>
      <c r="Q7" s="184" t="n"/>
      <c r="R7" s="184" t="n"/>
      <c r="S7" s="185" t="n"/>
    </row>
    <row r="8">
      <c r="A8" s="4" t="inlineStr">
        <is>
          <t>Fluxograma</t>
        </is>
      </c>
      <c r="B8" s="158" t="inlineStr">
        <is>
          <t>PHS2-PR27-1701-FL.04 REV.00N</t>
        </is>
      </c>
      <c r="C8" s="205" t="n"/>
      <c r="D8" s="205" t="n"/>
      <c r="E8" s="205" t="n"/>
      <c r="F8" s="205" t="n"/>
      <c r="G8" s="205" t="n"/>
      <c r="H8" s="3" t="inlineStr">
        <is>
          <t>Número de vias/posições</t>
        </is>
      </c>
      <c r="I8" s="205" t="n"/>
      <c r="J8" s="205" t="n"/>
      <c r="K8" s="205" t="n"/>
      <c r="L8" s="205" t="n"/>
      <c r="M8" s="206" t="n"/>
      <c r="N8" s="224" t="n"/>
      <c r="O8" s="184" t="n"/>
      <c r="P8" s="184" t="n"/>
      <c r="Q8" s="184" t="n"/>
      <c r="R8" s="184" t="n"/>
      <c r="S8" s="185" t="n"/>
    </row>
    <row r="9">
      <c r="A9" s="3" t="inlineStr">
        <is>
          <t>Bitola da linha</t>
        </is>
      </c>
      <c r="B9" s="158" t="n"/>
      <c r="C9" s="205" t="n"/>
      <c r="D9" s="205" t="n"/>
      <c r="E9" s="205" t="n"/>
      <c r="F9" s="205" t="n"/>
      <c r="G9" s="205" t="n"/>
      <c r="H9" s="3" t="inlineStr">
        <is>
          <t>Material do corpo</t>
        </is>
      </c>
      <c r="I9" s="205" t="n"/>
      <c r="J9" s="205" t="n"/>
      <c r="K9" s="205" t="n"/>
      <c r="L9" s="205" t="n"/>
      <c r="M9" s="206" t="n"/>
      <c r="N9" s="224" t="n"/>
      <c r="O9" s="184" t="n"/>
      <c r="P9" s="184" t="n"/>
      <c r="Q9" s="184" t="n"/>
      <c r="R9" s="184" t="n"/>
      <c r="S9" s="185" t="n"/>
    </row>
    <row r="10">
      <c r="A10" s="3" t="inlineStr">
        <is>
          <t>Tipo do corpo</t>
        </is>
      </c>
      <c r="B10" s="158" t="inlineStr">
        <is>
          <t>ESFERA AUTOMÁTICA</t>
        </is>
      </c>
      <c r="C10" s="205" t="n"/>
      <c r="D10" s="205" t="n"/>
      <c r="E10" s="205" t="n"/>
      <c r="F10" s="205" t="n"/>
      <c r="G10" s="205" t="n"/>
      <c r="H10" s="3" t="inlineStr">
        <is>
          <t>Classe da bobina</t>
        </is>
      </c>
      <c r="I10" s="205" t="n"/>
      <c r="J10" s="205" t="n"/>
      <c r="K10" s="205" t="n"/>
      <c r="L10" s="205" t="n"/>
      <c r="M10" s="206" t="n"/>
      <c r="N10" s="224" t="n"/>
      <c r="O10" s="184" t="n"/>
      <c r="P10" s="184" t="n"/>
      <c r="Q10" s="184" t="n"/>
      <c r="R10" s="184" t="n"/>
      <c r="S10" s="185" t="n"/>
    </row>
    <row r="11">
      <c r="A11" s="3" t="inlineStr">
        <is>
          <t>Material do corpo</t>
        </is>
      </c>
      <c r="B11" s="158" t="n"/>
      <c r="C11" s="205" t="n"/>
      <c r="D11" s="205" t="n"/>
      <c r="E11" s="205" t="n"/>
      <c r="F11" s="205" t="n"/>
      <c r="G11" s="205" t="n"/>
      <c r="H11" s="3" t="inlineStr">
        <is>
          <t>Número de bobinas</t>
        </is>
      </c>
      <c r="I11" s="205" t="n"/>
      <c r="J11" s="205" t="n"/>
      <c r="K11" s="205" t="n"/>
      <c r="L11" s="205" t="n"/>
      <c r="M11" s="206" t="n"/>
      <c r="N11" s="224" t="n"/>
      <c r="O11" s="184" t="n"/>
      <c r="P11" s="184" t="n"/>
      <c r="Q11" s="184" t="n"/>
      <c r="R11" s="184" t="n"/>
      <c r="S11" s="185" t="n"/>
    </row>
    <row r="12">
      <c r="A12" s="3" t="inlineStr">
        <is>
          <t>Diâmetro da válvula</t>
        </is>
      </c>
      <c r="B12" s="158" t="inlineStr">
        <is>
          <t>-</t>
        </is>
      </c>
      <c r="C12" s="205" t="n"/>
      <c r="D12" s="205" t="n"/>
      <c r="E12" s="205" t="n"/>
      <c r="F12" s="205" t="n"/>
      <c r="G12" s="205" t="n"/>
      <c r="H12" s="3" t="inlineStr">
        <is>
          <t>Conexão elétrica</t>
        </is>
      </c>
      <c r="I12" s="205" t="n"/>
      <c r="J12" s="205" t="n"/>
      <c r="K12" s="205" t="n"/>
      <c r="L12" s="205" t="n"/>
      <c r="M12" s="206" t="n"/>
      <c r="N12" s="224" t="n"/>
      <c r="O12" s="184" t="n"/>
      <c r="P12" s="184" t="n"/>
      <c r="Q12" s="184" t="n"/>
      <c r="R12" s="184" t="n"/>
      <c r="S12" s="185" t="n"/>
    </row>
    <row r="13">
      <c r="A13" s="3" t="inlineStr">
        <is>
          <t>Conexões e faceamento</t>
        </is>
      </c>
      <c r="B13" s="148" t="n"/>
      <c r="C13" s="205" t="n"/>
      <c r="D13" s="205" t="n"/>
      <c r="E13" s="205" t="n"/>
      <c r="F13" s="205" t="n"/>
      <c r="G13" s="205" t="n"/>
      <c r="H13" s="3" t="inlineStr">
        <is>
          <t>Conexão pneumática</t>
        </is>
      </c>
      <c r="I13" s="205" t="n"/>
      <c r="J13" s="205" t="n"/>
      <c r="K13" s="205" t="n"/>
      <c r="L13" s="205" t="n"/>
      <c r="M13" s="206" t="n"/>
      <c r="N13" s="224" t="n"/>
      <c r="O13" s="184" t="n"/>
      <c r="P13" s="184" t="n"/>
      <c r="Q13" s="184" t="n"/>
      <c r="R13" s="184" t="n"/>
      <c r="S13" s="185" t="n"/>
    </row>
    <row r="14">
      <c r="A14" s="3" t="inlineStr">
        <is>
          <t>Castelo</t>
        </is>
      </c>
      <c r="B14" s="148" t="n"/>
      <c r="C14" s="205" t="n"/>
      <c r="D14" s="205" t="n"/>
      <c r="E14" s="205" t="n"/>
      <c r="F14" s="205" t="n"/>
      <c r="G14" s="205" t="n"/>
      <c r="H14" s="3" t="inlineStr">
        <is>
          <t>Classificação da área</t>
        </is>
      </c>
      <c r="I14" s="205" t="n"/>
      <c r="J14" s="205" t="n"/>
      <c r="K14" s="205" t="n"/>
      <c r="L14" s="205" t="n"/>
      <c r="M14" s="206" t="n"/>
      <c r="N14" s="224" t="n"/>
      <c r="O14" s="184" t="n"/>
      <c r="P14" s="184" t="n"/>
      <c r="Q14" s="184" t="n"/>
      <c r="R14" s="184" t="n"/>
      <c r="S14" s="185" t="n"/>
    </row>
    <row r="15" ht="13.8" customHeight="1" thickBot="1">
      <c r="A15" s="16" t="inlineStr">
        <is>
          <t>Classe de vedação</t>
        </is>
      </c>
      <c r="B15" s="150" t="n"/>
      <c r="C15" s="184" t="n"/>
      <c r="D15" s="184" t="n"/>
      <c r="E15" s="184" t="n"/>
      <c r="F15" s="184" t="n"/>
      <c r="G15" s="184" t="n"/>
      <c r="H15" s="6" t="inlineStr">
        <is>
          <t>Classificação do invólucro</t>
        </is>
      </c>
      <c r="I15" s="208" t="n"/>
      <c r="J15" s="208" t="n"/>
      <c r="K15" s="208" t="n"/>
      <c r="L15" s="208" t="n"/>
      <c r="M15" s="209" t="n"/>
      <c r="N15" s="225" t="n"/>
      <c r="O15" s="208" t="n"/>
      <c r="P15" s="208" t="n"/>
      <c r="Q15" s="208" t="n"/>
      <c r="R15" s="208" t="n"/>
      <c r="S15" s="226" t="n"/>
    </row>
    <row r="16" ht="13.8" customHeight="1" thickBot="1">
      <c r="A16" s="220" t="inlineStr">
        <is>
          <t>INTERNOS</t>
        </is>
      </c>
      <c r="B16" s="221" t="n"/>
      <c r="C16" s="221" t="n"/>
      <c r="D16" s="221" t="n"/>
      <c r="E16" s="221" t="n"/>
      <c r="F16" s="221" t="n"/>
      <c r="G16" s="222" t="n"/>
      <c r="H16" s="220" t="inlineStr">
        <is>
          <t>FINS DE CURSO</t>
        </is>
      </c>
      <c r="I16" s="221" t="n"/>
      <c r="J16" s="221" t="n"/>
      <c r="K16" s="221" t="n"/>
      <c r="L16" s="221" t="n"/>
      <c r="M16" s="221" t="n"/>
      <c r="N16" s="221" t="n"/>
      <c r="O16" s="221" t="n"/>
      <c r="P16" s="221" t="n"/>
      <c r="Q16" s="221" t="n"/>
      <c r="R16" s="221" t="n"/>
      <c r="S16" s="222" t="n"/>
      <c r="X16" s="69" t="n"/>
      <c r="Y16" s="69" t="n"/>
      <c r="Z16" s="69" t="n"/>
    </row>
    <row r="17">
      <c r="A17" s="18" t="inlineStr">
        <is>
          <t>Material das gaxetas</t>
        </is>
      </c>
      <c r="B17" s="227" t="n"/>
      <c r="C17" s="212" t="n"/>
      <c r="D17" s="212" t="n"/>
      <c r="E17" s="212" t="n"/>
      <c r="F17" s="212" t="n"/>
      <c r="G17" s="214" t="n"/>
      <c r="H17" s="146" t="inlineStr">
        <is>
          <t>TAG</t>
        </is>
      </c>
      <c r="I17" s="181" t="n"/>
      <c r="J17" s="181" t="n"/>
      <c r="K17" s="181" t="n"/>
      <c r="L17" s="181" t="n"/>
      <c r="M17" s="202" t="n"/>
      <c r="N17" s="228" t="n"/>
      <c r="S17" s="192" t="n"/>
      <c r="X17" s="69" t="n"/>
      <c r="Z17" s="69" t="n"/>
    </row>
    <row r="18">
      <c r="A18" s="3" t="inlineStr">
        <is>
          <t>Sede</t>
        </is>
      </c>
      <c r="B18" s="229" t="n"/>
      <c r="C18" s="205" t="n"/>
      <c r="D18" s="205" t="n"/>
      <c r="E18" s="205" t="n"/>
      <c r="F18" s="205" t="n"/>
      <c r="G18" s="216" t="n"/>
      <c r="H18" s="130" t="inlineStr">
        <is>
          <t>Tipo</t>
        </is>
      </c>
      <c r="I18" s="205" t="n"/>
      <c r="J18" s="205" t="n"/>
      <c r="K18" s="205" t="n"/>
      <c r="L18" s="205" t="n"/>
      <c r="M18" s="206" t="n"/>
      <c r="N18" s="224" t="n"/>
      <c r="O18" s="184" t="n"/>
      <c r="P18" s="184" t="n"/>
      <c r="Q18" s="184" t="n"/>
      <c r="R18" s="184" t="n"/>
      <c r="S18" s="185" t="n"/>
      <c r="X18" s="69" t="n"/>
      <c r="Z18" s="69" t="n"/>
    </row>
    <row r="19">
      <c r="A19" s="5" t="inlineStr">
        <is>
          <t>Material do disco</t>
        </is>
      </c>
      <c r="B19" s="229" t="n"/>
      <c r="C19" s="205" t="n"/>
      <c r="D19" s="205" t="n"/>
      <c r="E19" s="205" t="n"/>
      <c r="F19" s="205" t="n"/>
      <c r="G19" s="216" t="n"/>
      <c r="H19" s="130" t="inlineStr">
        <is>
          <t>Quantidade</t>
        </is>
      </c>
      <c r="I19" s="205" t="n"/>
      <c r="J19" s="205" t="n"/>
      <c r="K19" s="205" t="n"/>
      <c r="L19" s="205" t="n"/>
      <c r="M19" s="206" t="n"/>
      <c r="N19" s="224" t="n"/>
      <c r="O19" s="184" t="n"/>
      <c r="P19" s="184" t="n"/>
      <c r="Q19" s="184" t="n"/>
      <c r="R19" s="184" t="n"/>
      <c r="S19" s="185" t="n"/>
      <c r="X19" s="69" t="n"/>
      <c r="Z19" s="69" t="n"/>
    </row>
    <row r="20">
      <c r="A20" s="5" t="inlineStr">
        <is>
          <t>Material da haste</t>
        </is>
      </c>
      <c r="B20" s="229" t="n"/>
      <c r="C20" s="205" t="n"/>
      <c r="D20" s="205" t="n"/>
      <c r="E20" s="205" t="n"/>
      <c r="F20" s="205" t="n"/>
      <c r="G20" s="216" t="n"/>
      <c r="H20" s="130" t="inlineStr">
        <is>
          <t>Tipo dos contatos</t>
        </is>
      </c>
      <c r="I20" s="205" t="n"/>
      <c r="J20" s="205" t="n"/>
      <c r="K20" s="205" t="n"/>
      <c r="L20" s="205" t="n"/>
      <c r="M20" s="206" t="n"/>
      <c r="N20" s="224" t="n"/>
      <c r="O20" s="184" t="n"/>
      <c r="P20" s="184" t="n"/>
      <c r="Q20" s="184" t="n"/>
      <c r="R20" s="184" t="n"/>
      <c r="S20" s="185" t="n"/>
      <c r="X20" s="69" t="n"/>
      <c r="Z20" s="69" t="n"/>
    </row>
    <row r="21">
      <c r="A21" s="3" t="inlineStr">
        <is>
          <t>Obturador balanceado</t>
        </is>
      </c>
      <c r="B21" s="229" t="n"/>
      <c r="C21" s="205" t="n"/>
      <c r="D21" s="205" t="n"/>
      <c r="E21" s="205" t="n"/>
      <c r="F21" s="205" t="n"/>
      <c r="G21" s="216" t="n"/>
      <c r="H21" s="130" t="inlineStr">
        <is>
          <t>Conexão elétrica</t>
        </is>
      </c>
      <c r="I21" s="205" t="n"/>
      <c r="J21" s="205" t="n"/>
      <c r="K21" s="205" t="n"/>
      <c r="L21" s="205" t="n"/>
      <c r="M21" s="206" t="n"/>
      <c r="N21" s="224" t="n"/>
      <c r="O21" s="184" t="n"/>
      <c r="P21" s="184" t="n"/>
      <c r="Q21" s="184" t="n"/>
      <c r="R21" s="184" t="n"/>
      <c r="S21" s="185" t="n"/>
      <c r="X21" s="69" t="n"/>
      <c r="Z21" s="69" t="n"/>
    </row>
    <row r="22">
      <c r="A22" s="3" t="inlineStr">
        <is>
          <t>Direção do fluxo</t>
        </is>
      </c>
      <c r="B22" s="229" t="n"/>
      <c r="C22" s="205" t="n"/>
      <c r="D22" s="205" t="n"/>
      <c r="E22" s="205" t="n"/>
      <c r="F22" s="205" t="n"/>
      <c r="G22" s="216" t="n"/>
      <c r="H22" s="130" t="inlineStr">
        <is>
          <t>Classificação de área</t>
        </is>
      </c>
      <c r="I22" s="205" t="n"/>
      <c r="J22" s="205" t="n"/>
      <c r="K22" s="205" t="n"/>
      <c r="L22" s="205" t="n"/>
      <c r="M22" s="206" t="n"/>
      <c r="N22" s="224" t="n"/>
      <c r="O22" s="184" t="n"/>
      <c r="P22" s="184" t="n"/>
      <c r="Q22" s="184" t="n"/>
      <c r="R22" s="184" t="n"/>
      <c r="S22" s="185" t="n"/>
      <c r="X22" s="69" t="n"/>
      <c r="Z22" s="69" t="n"/>
    </row>
    <row r="23" ht="13.8" customHeight="1" thickBot="1">
      <c r="A23" s="6" t="inlineStr">
        <is>
          <t>Guias</t>
        </is>
      </c>
      <c r="B23" s="230" t="n"/>
      <c r="C23" s="208" t="n"/>
      <c r="D23" s="208" t="n"/>
      <c r="E23" s="208" t="n"/>
      <c r="F23" s="208" t="n"/>
      <c r="G23" s="226" t="n"/>
      <c r="H23" s="147" t="inlineStr">
        <is>
          <t>Classificação do invólucro</t>
        </is>
      </c>
      <c r="I23" s="184" t="n"/>
      <c r="J23" s="184" t="n"/>
      <c r="K23" s="184" t="n"/>
      <c r="L23" s="184" t="n"/>
      <c r="M23" s="231" t="n"/>
      <c r="N23" s="224" t="n"/>
      <c r="O23" s="184" t="n"/>
      <c r="P23" s="184" t="n"/>
      <c r="Q23" s="184" t="n"/>
      <c r="R23" s="184" t="n"/>
      <c r="S23" s="185" t="n"/>
      <c r="X23" s="69" t="n"/>
      <c r="Z23" s="69" t="n"/>
    </row>
    <row r="24" ht="13.8" customHeight="1" thickBot="1">
      <c r="A24" s="220" t="inlineStr">
        <is>
          <t>ATUADOR</t>
        </is>
      </c>
      <c r="B24" s="221" t="n"/>
      <c r="C24" s="221" t="n"/>
      <c r="D24" s="221" t="n"/>
      <c r="E24" s="221" t="n"/>
      <c r="F24" s="221" t="n"/>
      <c r="G24" s="222" t="n"/>
      <c r="H24" s="220" t="inlineStr">
        <is>
          <t>DADOS DE PROCESSO</t>
        </is>
      </c>
      <c r="I24" s="221" t="n"/>
      <c r="J24" s="221" t="n"/>
      <c r="K24" s="221" t="n"/>
      <c r="L24" s="221" t="n"/>
      <c r="M24" s="221" t="n"/>
      <c r="N24" s="221" t="n"/>
      <c r="O24" s="221" t="n"/>
      <c r="P24" s="221" t="n"/>
      <c r="Q24" s="221" t="n"/>
      <c r="R24" s="221" t="n"/>
      <c r="S24" s="222" t="n"/>
    </row>
    <row r="25">
      <c r="A25" s="17" t="inlineStr">
        <is>
          <t>Tipo</t>
        </is>
      </c>
      <c r="B25" s="152" t="n"/>
      <c r="C25" s="181" t="n"/>
      <c r="D25" s="181" t="n"/>
      <c r="E25" s="181" t="n"/>
      <c r="F25" s="181" t="n"/>
      <c r="G25" s="181" t="n"/>
      <c r="H25" s="18" t="inlineStr">
        <is>
          <t>Fluido</t>
        </is>
      </c>
      <c r="I25" s="212" t="n"/>
      <c r="J25" s="212" t="n"/>
      <c r="K25" s="212" t="n"/>
      <c r="L25" s="212" t="n"/>
      <c r="M25" s="213" t="n"/>
      <c r="N25" s="232" t="inlineStr">
        <is>
          <t>(NOTA 1)</t>
        </is>
      </c>
      <c r="O25" s="173" t="n"/>
      <c r="P25" s="173" t="n"/>
      <c r="Q25" s="173" t="n"/>
      <c r="R25" s="173" t="n"/>
      <c r="S25" s="177" t="n"/>
    </row>
    <row r="26">
      <c r="A26" s="3" t="inlineStr">
        <is>
          <t>Range</t>
        </is>
      </c>
      <c r="B26" s="148" t="n"/>
      <c r="C26" s="205" t="n"/>
      <c r="D26" s="205" t="n"/>
      <c r="E26" s="205" t="n"/>
      <c r="F26" s="205" t="n"/>
      <c r="G26" s="205" t="n"/>
      <c r="H26" s="3" t="inlineStr">
        <is>
          <t>Estado físico</t>
        </is>
      </c>
      <c r="I26" s="205" t="n"/>
      <c r="J26" s="205" t="n"/>
      <c r="K26" s="205" t="n"/>
      <c r="L26" s="205" t="n"/>
      <c r="M26" s="206" t="n"/>
      <c r="N26" s="233" t="n"/>
      <c r="O26" s="184" t="n"/>
      <c r="P26" s="184" t="n"/>
      <c r="Q26" s="184" t="n"/>
      <c r="R26" s="184" t="n"/>
      <c r="S26" s="185" t="n"/>
    </row>
    <row r="27">
      <c r="A27" s="3" t="inlineStr">
        <is>
          <t>Volante</t>
        </is>
      </c>
      <c r="B27" s="148" t="n"/>
      <c r="C27" s="205" t="n"/>
      <c r="D27" s="205" t="n"/>
      <c r="E27" s="205" t="n"/>
      <c r="F27" s="205" t="n"/>
      <c r="G27" s="205" t="n"/>
      <c r="H27" s="3" t="inlineStr">
        <is>
          <t>Pressão de entrada</t>
        </is>
      </c>
      <c r="I27" s="205" t="n"/>
      <c r="J27" s="205" t="n"/>
      <c r="K27" s="205" t="n"/>
      <c r="L27" s="205" t="n"/>
      <c r="M27" s="206" t="n"/>
      <c r="N27" s="233" t="inlineStr">
        <is>
          <t>-</t>
        </is>
      </c>
      <c r="O27" s="184" t="n"/>
      <c r="P27" s="184" t="n"/>
      <c r="Q27" s="184" t="n"/>
      <c r="R27" s="184" t="n"/>
      <c r="S27" s="185" t="n"/>
    </row>
    <row r="28">
      <c r="A28" s="3" t="inlineStr">
        <is>
          <t>Ação em caso de falha</t>
        </is>
      </c>
      <c r="B28" s="148" t="n"/>
      <c r="C28" s="205" t="n"/>
      <c r="D28" s="205" t="n"/>
      <c r="E28" s="205" t="n"/>
      <c r="F28" s="205" t="n"/>
      <c r="G28" s="205" t="n"/>
      <c r="H28" s="3" t="inlineStr">
        <is>
          <t>Pressão de saída</t>
        </is>
      </c>
      <c r="I28" s="205" t="n"/>
      <c r="J28" s="205" t="n"/>
      <c r="K28" s="205" t="n"/>
      <c r="L28" s="205" t="n"/>
      <c r="M28" s="206" t="n"/>
      <c r="N28" s="233" t="n"/>
      <c r="O28" s="184" t="n"/>
      <c r="P28" s="184" t="n"/>
      <c r="Q28" s="184" t="n"/>
      <c r="R28" s="184" t="n"/>
      <c r="S28" s="185" t="n"/>
    </row>
    <row r="29" ht="13.8" customHeight="1" thickBot="1">
      <c r="A29" s="16" t="inlineStr">
        <is>
          <t>Pressão suprimento de ar (min/max)</t>
        </is>
      </c>
      <c r="B29" s="150" t="n"/>
      <c r="C29" s="184" t="n"/>
      <c r="D29" s="184" t="n"/>
      <c r="E29" s="184" t="n"/>
      <c r="F29" s="184" t="n"/>
      <c r="G29" s="184" t="n"/>
      <c r="H29" s="3" t="inlineStr">
        <is>
          <t>Viscosidade</t>
        </is>
      </c>
      <c r="I29" s="205" t="n"/>
      <c r="J29" s="205" t="n"/>
      <c r="K29" s="205" t="n"/>
      <c r="L29" s="205" t="n"/>
      <c r="M29" s="206" t="n"/>
      <c r="N29" s="233" t="inlineStr">
        <is>
          <t>&lt;50 cP</t>
        </is>
      </c>
      <c r="O29" s="184" t="n"/>
      <c r="P29" s="184" t="n"/>
      <c r="Q29" s="184" t="n"/>
      <c r="R29" s="184" t="n"/>
      <c r="S29" s="185" t="n"/>
    </row>
    <row r="30" ht="13.8" customHeight="1" thickBot="1">
      <c r="A30" s="142" t="inlineStr">
        <is>
          <t>POSICIONADOR</t>
        </is>
      </c>
      <c r="B30" s="221" t="n"/>
      <c r="C30" s="221" t="n"/>
      <c r="D30" s="221" t="n"/>
      <c r="E30" s="221" t="n"/>
      <c r="F30" s="221" t="n"/>
      <c r="G30" s="221" t="n"/>
      <c r="H30" s="3" t="inlineStr">
        <is>
          <t>Vazão normal</t>
        </is>
      </c>
      <c r="I30" s="205" t="n"/>
      <c r="J30" s="205" t="n"/>
      <c r="K30" s="205" t="n"/>
      <c r="L30" s="205" t="n"/>
      <c r="M30" s="206" t="n"/>
      <c r="N30" s="233" t="n"/>
      <c r="O30" s="184" t="n"/>
      <c r="P30" s="184" t="n"/>
      <c r="Q30" s="184" t="n"/>
      <c r="R30" s="184" t="n"/>
      <c r="S30" s="185" t="n"/>
    </row>
    <row r="31">
      <c r="A31" s="17" t="inlineStr">
        <is>
          <t>Tipo</t>
        </is>
      </c>
      <c r="B31" s="152" t="n"/>
      <c r="C31" s="181" t="n"/>
      <c r="D31" s="181" t="n"/>
      <c r="E31" s="181" t="n"/>
      <c r="F31" s="181" t="n"/>
      <c r="G31" s="181" t="n"/>
      <c r="H31" s="3" t="inlineStr">
        <is>
          <t>Vazão máxima</t>
        </is>
      </c>
      <c r="I31" s="205" t="n"/>
      <c r="J31" s="205" t="n"/>
      <c r="K31" s="205" t="n"/>
      <c r="L31" s="205" t="n"/>
      <c r="M31" s="206" t="n"/>
      <c r="N31" s="233" t="inlineStr">
        <is>
          <t>30.0</t>
        </is>
      </c>
      <c r="O31" s="184" t="n"/>
      <c r="P31" s="184" t="n"/>
      <c r="Q31" s="184" t="n"/>
      <c r="R31" s="184" t="n"/>
      <c r="S31" s="185" t="n"/>
    </row>
    <row r="32">
      <c r="A32" s="3" t="inlineStr">
        <is>
          <t>By-pass</t>
        </is>
      </c>
      <c r="B32" s="148" t="n"/>
      <c r="C32" s="205" t="n"/>
      <c r="D32" s="205" t="n"/>
      <c r="E32" s="205" t="n"/>
      <c r="F32" s="205" t="n"/>
      <c r="G32" s="205" t="n"/>
      <c r="H32" s="3" t="inlineStr">
        <is>
          <t>Vazão mínima</t>
        </is>
      </c>
      <c r="I32" s="205" t="n"/>
      <c r="J32" s="205" t="n"/>
      <c r="K32" s="205" t="n"/>
      <c r="L32" s="205" t="n"/>
      <c r="M32" s="206" t="n"/>
      <c r="N32" s="233" t="inlineStr">
        <is>
          <t>15.0</t>
        </is>
      </c>
      <c r="O32" s="184" t="n"/>
      <c r="P32" s="184" t="n"/>
      <c r="Q32" s="184" t="n"/>
      <c r="R32" s="184" t="n"/>
      <c r="S32" s="185" t="n"/>
    </row>
    <row r="33">
      <c r="A33" s="3" t="inlineStr">
        <is>
          <t>Manômetros quantidade</t>
        </is>
      </c>
      <c r="B33" s="148" t="n"/>
      <c r="C33" s="205" t="n"/>
      <c r="D33" s="205" t="n"/>
      <c r="E33" s="205" t="n"/>
      <c r="F33" s="205" t="n"/>
      <c r="G33" s="205" t="n"/>
      <c r="H33" s="3" t="inlineStr">
        <is>
          <t>Pressão shut off</t>
        </is>
      </c>
      <c r="I33" s="205" t="n"/>
      <c r="J33" s="205" t="n"/>
      <c r="K33" s="205" t="n"/>
      <c r="L33" s="205" t="n"/>
      <c r="M33" s="206" t="n"/>
      <c r="N33" s="233" t="n"/>
      <c r="O33" s="184" t="n"/>
      <c r="P33" s="184" t="n"/>
      <c r="Q33" s="184" t="n"/>
      <c r="R33" s="184" t="n"/>
      <c r="S33" s="185" t="n"/>
    </row>
    <row r="34">
      <c r="A34" s="3" t="inlineStr">
        <is>
          <t>Sinal de entrada</t>
        </is>
      </c>
      <c r="B34" s="148" t="n"/>
      <c r="C34" s="205" t="n"/>
      <c r="D34" s="205" t="n"/>
      <c r="E34" s="205" t="n"/>
      <c r="F34" s="205" t="n"/>
      <c r="G34" s="205" t="n"/>
      <c r="H34" s="3" t="inlineStr">
        <is>
          <t>Temperatura máxima</t>
        </is>
      </c>
      <c r="I34" s="205" t="n"/>
      <c r="J34" s="205" t="n"/>
      <c r="K34" s="205" t="n"/>
      <c r="L34" s="205" t="n"/>
      <c r="M34" s="206" t="n"/>
      <c r="N34" s="233" t="inlineStr">
        <is>
          <t>35</t>
        </is>
      </c>
      <c r="O34" s="184" t="n"/>
      <c r="P34" s="184" t="n"/>
      <c r="Q34" s="184" t="n"/>
      <c r="R34" s="184" t="n"/>
      <c r="S34" s="185" t="n"/>
    </row>
    <row r="35">
      <c r="A35" s="3" t="inlineStr">
        <is>
          <t>Sial de saída</t>
        </is>
      </c>
      <c r="B35" s="148" t="n"/>
      <c r="C35" s="205" t="n"/>
      <c r="D35" s="205" t="n"/>
      <c r="E35" s="205" t="n"/>
      <c r="F35" s="205" t="n"/>
      <c r="G35" s="205" t="n"/>
      <c r="H35" s="3" t="inlineStr">
        <is>
          <t>Temperatura normal</t>
        </is>
      </c>
      <c r="I35" s="205" t="n"/>
      <c r="J35" s="205" t="n"/>
      <c r="K35" s="205" t="n"/>
      <c r="L35" s="205" t="n"/>
      <c r="M35" s="206" t="n"/>
      <c r="N35" s="233" t="n"/>
      <c r="O35" s="184" t="n"/>
      <c r="P35" s="184" t="n"/>
      <c r="Q35" s="184" t="n"/>
      <c r="R35" s="184" t="n"/>
      <c r="S35" s="185" t="n"/>
    </row>
    <row r="36">
      <c r="A36" s="3" t="inlineStr">
        <is>
          <t>Característica do came</t>
        </is>
      </c>
      <c r="B36" s="148" t="n"/>
      <c r="C36" s="205" t="n"/>
      <c r="D36" s="205" t="n"/>
      <c r="E36" s="205" t="n"/>
      <c r="F36" s="205" t="n"/>
      <c r="G36" s="205" t="n"/>
      <c r="H36" s="3" t="inlineStr">
        <is>
          <t>Massa específica</t>
        </is>
      </c>
      <c r="I36" s="205" t="n"/>
      <c r="J36" s="205" t="n"/>
      <c r="K36" s="205" t="n"/>
      <c r="L36" s="205" t="n"/>
      <c r="M36" s="206" t="n"/>
      <c r="N36" s="233" t="inlineStr">
        <is>
          <t>1120 kg/m³</t>
        </is>
      </c>
      <c r="O36" s="184" t="n"/>
      <c r="P36" s="184" t="n"/>
      <c r="Q36" s="184" t="n"/>
      <c r="R36" s="184" t="n"/>
      <c r="S36" s="185" t="n"/>
    </row>
    <row r="37" ht="13.8" customHeight="1" thickBot="1">
      <c r="A37" s="16" t="inlineStr">
        <is>
          <t>Alimentação de ar</t>
        </is>
      </c>
      <c r="B37" s="150" t="n"/>
      <c r="C37" s="184" t="n"/>
      <c r="D37" s="184" t="n"/>
      <c r="E37" s="184" t="n"/>
      <c r="F37" s="184" t="n"/>
      <c r="G37" s="184" t="n"/>
      <c r="H37" s="3" t="inlineStr">
        <is>
          <t>Cv calculado (máximo) / % abertura</t>
        </is>
      </c>
      <c r="I37" s="205" t="n"/>
      <c r="J37" s="205" t="n"/>
      <c r="K37" s="205" t="n"/>
      <c r="L37" s="205" t="n"/>
      <c r="M37" s="206" t="n"/>
      <c r="N37" s="224" t="n"/>
      <c r="O37" s="184" t="n"/>
      <c r="P37" s="184" t="n"/>
      <c r="Q37" s="184" t="n"/>
      <c r="R37" s="184" t="n"/>
      <c r="S37" s="185" t="n"/>
    </row>
    <row r="38" ht="13.8" customHeight="1" thickBot="1">
      <c r="A38" s="142" t="inlineStr">
        <is>
          <t>ACESSÓRIOS</t>
        </is>
      </c>
      <c r="B38" s="221" t="n"/>
      <c r="C38" s="221" t="n"/>
      <c r="D38" s="221" t="n"/>
      <c r="E38" s="221" t="n"/>
      <c r="F38" s="221" t="n"/>
      <c r="G38" s="221" t="n"/>
      <c r="H38" s="3" t="inlineStr">
        <is>
          <t>Cv calculado (normal) / % abertura</t>
        </is>
      </c>
      <c r="I38" s="205" t="n"/>
      <c r="J38" s="205" t="n"/>
      <c r="K38" s="205" t="n"/>
      <c r="L38" s="205" t="n"/>
      <c r="M38" s="206" t="n"/>
      <c r="N38" s="224" t="n"/>
      <c r="O38" s="184" t="n"/>
      <c r="P38" s="184" t="n"/>
      <c r="Q38" s="184" t="n"/>
      <c r="R38" s="184" t="n"/>
      <c r="S38" s="185" t="n"/>
    </row>
    <row r="39">
      <c r="A39" s="17" t="inlineStr">
        <is>
          <t>Filtro / Filtro regulador</t>
        </is>
      </c>
      <c r="B39" s="152" t="n"/>
      <c r="C39" s="181" t="n"/>
      <c r="D39" s="181" t="n"/>
      <c r="E39" s="181" t="n"/>
      <c r="F39" s="181" t="n"/>
      <c r="G39" s="181" t="n"/>
      <c r="H39" s="3" t="inlineStr">
        <is>
          <t>Cv calculado (mínimo) / % abertura</t>
        </is>
      </c>
      <c r="I39" s="205" t="n"/>
      <c r="J39" s="205" t="n"/>
      <c r="K39" s="205" t="n"/>
      <c r="L39" s="205" t="n"/>
      <c r="M39" s="206" t="n"/>
      <c r="N39" s="224" t="n"/>
      <c r="O39" s="184" t="n"/>
      <c r="P39" s="184" t="n"/>
      <c r="Q39" s="184" t="n"/>
      <c r="R39" s="184" t="n"/>
      <c r="S39" s="185" t="n"/>
    </row>
    <row r="40">
      <c r="A40" s="3" t="inlineStr">
        <is>
          <t>Manômetro para o regulador</t>
        </is>
      </c>
      <c r="B40" s="148" t="n"/>
      <c r="C40" s="205" t="n"/>
      <c r="D40" s="205" t="n"/>
      <c r="E40" s="205" t="n"/>
      <c r="F40" s="205" t="n"/>
      <c r="G40" s="205" t="n"/>
      <c r="H40" s="3" t="inlineStr">
        <is>
          <t>Cv selecionado</t>
        </is>
      </c>
      <c r="I40" s="205" t="n"/>
      <c r="J40" s="205" t="n"/>
      <c r="K40" s="205" t="n"/>
      <c r="L40" s="205" t="n"/>
      <c r="M40" s="206" t="n"/>
      <c r="N40" s="224" t="n"/>
      <c r="O40" s="184" t="n"/>
      <c r="P40" s="184" t="n"/>
      <c r="Q40" s="184" t="n"/>
      <c r="R40" s="184" t="n"/>
      <c r="S40" s="185" t="n"/>
    </row>
    <row r="41" ht="13.8" customHeight="1" thickBot="1">
      <c r="A41" s="6" t="inlineStr">
        <is>
          <t>Posição do volante</t>
        </is>
      </c>
      <c r="B41" s="154" t="n"/>
      <c r="C41" s="208" t="n"/>
      <c r="D41" s="208" t="n"/>
      <c r="E41" s="208" t="n"/>
      <c r="F41" s="208" t="n"/>
      <c r="G41" s="208" t="n"/>
      <c r="H41" s="6" t="inlineStr">
        <is>
          <t>Nível de ruído</t>
        </is>
      </c>
      <c r="I41" s="208" t="n"/>
      <c r="J41" s="208" t="n"/>
      <c r="K41" s="208" t="n"/>
      <c r="L41" s="208" t="n"/>
      <c r="M41" s="209" t="n"/>
      <c r="N41" s="225" t="n"/>
      <c r="O41" s="208" t="n"/>
      <c r="P41" s="208" t="n"/>
      <c r="Q41" s="208" t="n"/>
      <c r="R41" s="208" t="n"/>
      <c r="S41" s="226" t="n"/>
    </row>
    <row r="42">
      <c r="A42" s="234" t="inlineStr">
        <is>
          <t>Notas:</t>
        </is>
      </c>
      <c r="B42" s="173" t="n"/>
      <c r="C42" s="173" t="n"/>
      <c r="D42" s="173" t="n"/>
      <c r="E42" s="173" t="n"/>
      <c r="F42" s="173" t="n"/>
      <c r="G42" s="173" t="n"/>
      <c r="H42" s="173" t="n"/>
      <c r="I42" s="173" t="n"/>
      <c r="J42" s="173" t="n"/>
      <c r="K42" s="173" t="n"/>
      <c r="L42" s="173" t="n"/>
      <c r="M42" s="173" t="n"/>
      <c r="N42" s="173" t="n"/>
      <c r="O42" s="173" t="n"/>
      <c r="P42" s="173" t="n"/>
      <c r="Q42" s="173" t="n"/>
      <c r="R42" s="173" t="n"/>
      <c r="S42" s="177" t="n"/>
    </row>
    <row r="43" ht="13.8" customHeight="1" thickBot="1">
      <c r="A43" s="235" t="inlineStr">
        <is>
          <t>(NOTA 1): CRESTIVO (A16003E); BIRK 25% (A25191A); BIRTEA; CRESTIVO DUO</t>
        </is>
      </c>
      <c r="B43" s="197" t="n"/>
      <c r="C43" s="197" t="n"/>
      <c r="D43" s="197" t="n"/>
      <c r="E43" s="197" t="n"/>
      <c r="F43" s="197" t="n"/>
      <c r="G43" s="197" t="n"/>
      <c r="H43" s="197" t="n"/>
      <c r="I43" s="197" t="n"/>
      <c r="J43" s="197" t="n"/>
      <c r="K43" s="197" t="n"/>
      <c r="L43" s="197" t="n"/>
      <c r="M43" s="197" t="n"/>
      <c r="N43" s="197" t="n"/>
      <c r="O43" s="197" t="n"/>
      <c r="P43" s="197" t="n"/>
      <c r="Q43" s="197" t="n"/>
      <c r="R43" s="197" t="n"/>
      <c r="S43" s="199" t="n"/>
    </row>
    <row r="44">
      <c r="A44" s="7" t="n"/>
    </row>
    <row r="45">
      <c r="A45" s="2" t="n"/>
    </row>
    <row r="46">
      <c r="A46" s="2" t="n"/>
    </row>
    <row r="47">
      <c r="A47" s="2" t="n"/>
    </row>
    <row r="48">
      <c r="A48" s="2" t="n"/>
    </row>
    <row r="49">
      <c r="A49" s="2" t="n"/>
    </row>
    <row r="50">
      <c r="A50" s="2" t="n"/>
    </row>
    <row r="51">
      <c r="A51" s="2" t="n"/>
    </row>
    <row r="52">
      <c r="A52" s="2" t="n"/>
    </row>
    <row r="53">
      <c r="A53" s="2" t="n"/>
    </row>
    <row r="54">
      <c r="A54" s="2" t="n"/>
    </row>
  </sheetData>
  <mergeCells count="116">
    <mergeCell ref="H21:M21"/>
    <mergeCell ref="N23:S23"/>
    <mergeCell ref="B8:G8"/>
    <mergeCell ref="N18:S18"/>
    <mergeCell ref="A1:A4"/>
    <mergeCell ref="N8:S8"/>
    <mergeCell ref="H7:M7"/>
    <mergeCell ref="B10:G10"/>
    <mergeCell ref="N10:S10"/>
    <mergeCell ref="A30:G30"/>
    <mergeCell ref="H27:M27"/>
    <mergeCell ref="N34:S34"/>
    <mergeCell ref="H33:M33"/>
    <mergeCell ref="B36:G36"/>
    <mergeCell ref="N27:S27"/>
    <mergeCell ref="H5:S5"/>
    <mergeCell ref="N36:S36"/>
    <mergeCell ref="H35:M35"/>
    <mergeCell ref="N11:S11"/>
    <mergeCell ref="N20:S20"/>
    <mergeCell ref="B22:G22"/>
    <mergeCell ref="B31:G31"/>
    <mergeCell ref="N22:S22"/>
    <mergeCell ref="H9:M9"/>
    <mergeCell ref="B12:G12"/>
    <mergeCell ref="H39:M39"/>
    <mergeCell ref="B21:G21"/>
    <mergeCell ref="B39:G39"/>
    <mergeCell ref="N12:S12"/>
    <mergeCell ref="N21:S21"/>
    <mergeCell ref="B14:G14"/>
    <mergeCell ref="B23:G23"/>
    <mergeCell ref="N14:S14"/>
    <mergeCell ref="B13:G13"/>
    <mergeCell ref="A43:S43"/>
    <mergeCell ref="N38:S38"/>
    <mergeCell ref="H16:S16"/>
    <mergeCell ref="H32:M32"/>
    <mergeCell ref="H13:M13"/>
    <mergeCell ref="N40:S40"/>
    <mergeCell ref="B33:G33"/>
    <mergeCell ref="H15:M15"/>
    <mergeCell ref="H18:M18"/>
    <mergeCell ref="B41:G41"/>
    <mergeCell ref="B35:G35"/>
    <mergeCell ref="C2:S2"/>
    <mergeCell ref="H8:M8"/>
    <mergeCell ref="N26:S26"/>
    <mergeCell ref="N35:S35"/>
    <mergeCell ref="H26:M26"/>
    <mergeCell ref="B25:G25"/>
    <mergeCell ref="N25:S25"/>
    <mergeCell ref="H10:M10"/>
    <mergeCell ref="H41:M41"/>
    <mergeCell ref="B27:G27"/>
    <mergeCell ref="H34:M34"/>
    <mergeCell ref="H25:M25"/>
    <mergeCell ref="B11:G11"/>
    <mergeCell ref="A5:G5"/>
    <mergeCell ref="A42:S42"/>
    <mergeCell ref="H36:M36"/>
    <mergeCell ref="A38:G38"/>
    <mergeCell ref="H17:M17"/>
    <mergeCell ref="N39:S39"/>
    <mergeCell ref="H11:M11"/>
    <mergeCell ref="B29:G29"/>
    <mergeCell ref="N29:S29"/>
    <mergeCell ref="H19:M19"/>
    <mergeCell ref="H28:M28"/>
    <mergeCell ref="H37:M37"/>
    <mergeCell ref="A24:G24"/>
    <mergeCell ref="N13:S13"/>
    <mergeCell ref="B40:G40"/>
    <mergeCell ref="H12:M12"/>
    <mergeCell ref="N31:S31"/>
    <mergeCell ref="B15:G15"/>
    <mergeCell ref="J1:S1"/>
    <mergeCell ref="N6:S6"/>
    <mergeCell ref="N15:S15"/>
    <mergeCell ref="H24:S24"/>
    <mergeCell ref="H14:M14"/>
    <mergeCell ref="B32:G32"/>
    <mergeCell ref="H23:M23"/>
    <mergeCell ref="A16:G16"/>
    <mergeCell ref="B26:G26"/>
    <mergeCell ref="Y16:Y23"/>
    <mergeCell ref="B7:G7"/>
    <mergeCell ref="H38:M38"/>
    <mergeCell ref="N32:S32"/>
    <mergeCell ref="N7:S7"/>
    <mergeCell ref="N41:S41"/>
    <mergeCell ref="H40:M40"/>
    <mergeCell ref="B18:G18"/>
    <mergeCell ref="N33:S33"/>
    <mergeCell ref="B17:G17"/>
    <mergeCell ref="N17:S17"/>
    <mergeCell ref="B19:G19"/>
    <mergeCell ref="B34:G34"/>
    <mergeCell ref="B28:G28"/>
    <mergeCell ref="B37:G37"/>
    <mergeCell ref="N19:S19"/>
    <mergeCell ref="H22:M22"/>
    <mergeCell ref="B9:G9"/>
    <mergeCell ref="N28:S28"/>
    <mergeCell ref="N9:S9"/>
    <mergeCell ref="B6:G6"/>
    <mergeCell ref="B20:G20"/>
    <mergeCell ref="N30:S30"/>
    <mergeCell ref="B3:S4"/>
    <mergeCell ref="H30:M30"/>
    <mergeCell ref="H20:M20"/>
    <mergeCell ref="H29:M29"/>
    <mergeCell ref="B1:H1"/>
    <mergeCell ref="N37:S37"/>
    <mergeCell ref="H31:M31"/>
    <mergeCell ref="H6:M6"/>
  </mergeCells>
  <pageMargins left="0.25" right="0.25" top="0.75" bottom="0.75" header="0.3" footer="0.3"/>
  <pageSetup orientation="portrait" paperSize="9" scale="82"/>
</worksheet>
</file>

<file path=xl/worksheets/sheet9.xml><?xml version="1.0" encoding="utf-8"?>
<worksheet xmlns="http://schemas.openxmlformats.org/spreadsheetml/2006/main">
  <sheetPr codeName="Planilha2">
    <outlinePr summaryBelow="1" summaryRight="1"/>
    <pageSetUpPr fitToPage="1"/>
  </sheetPr>
  <dimension ref="A1:Z54"/>
  <sheetViews>
    <sheetView workbookViewId="0">
      <selection activeCell="A1" sqref="A1"/>
    </sheetView>
  </sheetViews>
  <sheetFormatPr baseColWidth="8" defaultRowHeight="13.2"/>
  <cols>
    <col width="35.109375" bestFit="1" customWidth="1" style="137" min="1" max="1"/>
    <col width="4.88671875" customWidth="1" style="137" min="2" max="19"/>
  </cols>
  <sheetData>
    <row r="1" ht="14.25" customHeight="1">
      <c r="A1" s="210">
        <f>_xlfn.IMAGE("https://technikgrupo.sharepoint.com/sites/transfer/Logos/Technik.png")</f>
        <v/>
      </c>
      <c r="B1" s="211" t="inlineStr">
        <is>
          <t>FOLHA DE DADOS</t>
        </is>
      </c>
      <c r="C1" s="212" t="n"/>
      <c r="D1" s="212" t="n"/>
      <c r="E1" s="212" t="n"/>
      <c r="F1" s="212" t="n"/>
      <c r="G1" s="212" t="n"/>
      <c r="H1" s="213" t="n"/>
      <c r="I1" s="19" t="inlineStr">
        <is>
          <t>Nº.:</t>
        </is>
      </c>
      <c r="J1" s="166">
        <f>"FD-"&amp;Config!D2&amp;"-"&amp;Config!F2&amp;"-001"</f>
        <v/>
      </c>
      <c r="K1" s="212" t="n"/>
      <c r="L1" s="212" t="n"/>
      <c r="M1" s="212" t="n"/>
      <c r="N1" s="212" t="n"/>
      <c r="O1" s="212" t="n"/>
      <c r="P1" s="212" t="n"/>
      <c r="Q1" s="212" t="n"/>
      <c r="R1" s="212" t="n"/>
      <c r="S1" s="214" t="n"/>
    </row>
    <row r="2" ht="14.25" customHeight="1">
      <c r="A2" s="215" t="n"/>
      <c r="B2" s="20" t="inlineStr">
        <is>
          <t>ÁREA:</t>
        </is>
      </c>
      <c r="C2" s="164" t="inlineStr">
        <is>
          <t>PÁTIO D3</t>
        </is>
      </c>
      <c r="D2" s="205" t="n"/>
      <c r="E2" s="205" t="n"/>
      <c r="F2" s="205" t="n"/>
      <c r="G2" s="205" t="n"/>
      <c r="H2" s="205" t="n"/>
      <c r="I2" s="205" t="n"/>
      <c r="J2" s="205" t="n"/>
      <c r="K2" s="205" t="n"/>
      <c r="L2" s="205" t="n"/>
      <c r="M2" s="205" t="n"/>
      <c r="N2" s="205" t="n"/>
      <c r="O2" s="205" t="n"/>
      <c r="P2" s="205" t="n"/>
      <c r="Q2" s="205" t="n"/>
      <c r="R2" s="205" t="n"/>
      <c r="S2" s="216" t="n"/>
    </row>
    <row r="3" ht="14.25" customHeight="1">
      <c r="A3" s="215" t="n"/>
      <c r="B3" s="217" t="inlineStr">
        <is>
          <t>VÁLVULA ON OFF</t>
        </is>
      </c>
      <c r="C3" s="184" t="n"/>
      <c r="D3" s="184" t="n"/>
      <c r="E3" s="184" t="n"/>
      <c r="F3" s="184" t="n"/>
      <c r="G3" s="184" t="n"/>
      <c r="H3" s="184" t="n"/>
      <c r="I3" s="184" t="n"/>
      <c r="J3" s="184" t="n"/>
      <c r="K3" s="184" t="n"/>
      <c r="L3" s="184" t="n"/>
      <c r="M3" s="184" t="n"/>
      <c r="N3" s="184" t="n"/>
      <c r="O3" s="184" t="n"/>
      <c r="P3" s="184" t="n"/>
      <c r="Q3" s="184" t="n"/>
      <c r="R3" s="184" t="n"/>
      <c r="S3" s="185" t="n"/>
    </row>
    <row r="4" ht="14.25" customHeight="1" thickBot="1">
      <c r="A4" s="218" t="n"/>
      <c r="B4" s="219" t="n"/>
      <c r="C4" s="197" t="n"/>
      <c r="D4" s="197" t="n"/>
      <c r="E4" s="197" t="n"/>
      <c r="F4" s="197" t="n"/>
      <c r="G4" s="197" t="n"/>
      <c r="H4" s="197" t="n"/>
      <c r="I4" s="197" t="n"/>
      <c r="J4" s="197" t="n"/>
      <c r="K4" s="197" t="n"/>
      <c r="L4" s="197" t="n"/>
      <c r="M4" s="197" t="n"/>
      <c r="N4" s="197" t="n"/>
      <c r="O4" s="197" t="n"/>
      <c r="P4" s="197" t="n"/>
      <c r="Q4" s="197" t="n"/>
      <c r="R4" s="197" t="n"/>
      <c r="S4" s="199" t="n"/>
    </row>
    <row r="5" ht="13.8" customHeight="1" thickBot="1">
      <c r="A5" s="220" t="inlineStr">
        <is>
          <t>GERAL</t>
        </is>
      </c>
      <c r="B5" s="221" t="n"/>
      <c r="C5" s="221" t="n"/>
      <c r="D5" s="221" t="n"/>
      <c r="E5" s="221" t="n"/>
      <c r="F5" s="221" t="n"/>
      <c r="G5" s="222" t="n"/>
      <c r="H5" s="220" t="inlineStr">
        <is>
          <t>VÁLVULA SOLENÓIDE</t>
        </is>
      </c>
      <c r="I5" s="221" t="n"/>
      <c r="J5" s="221" t="n"/>
      <c r="K5" s="221" t="n"/>
      <c r="L5" s="221" t="n"/>
      <c r="M5" s="221" t="n"/>
      <c r="N5" s="221" t="n"/>
      <c r="O5" s="221" t="n"/>
      <c r="P5" s="221" t="n"/>
      <c r="Q5" s="221" t="n"/>
      <c r="R5" s="221" t="n"/>
      <c r="S5" s="222" t="n"/>
    </row>
    <row r="6">
      <c r="A6" s="17" t="inlineStr">
        <is>
          <t>TAG / Quantidade</t>
        </is>
      </c>
      <c r="B6" s="167" t="inlineStr">
        <is>
          <t>XV-1710.5</t>
        </is>
      </c>
      <c r="C6" s="181" t="n"/>
      <c r="D6" s="181" t="n"/>
      <c r="E6" s="181" t="n"/>
      <c r="F6" s="181" t="n"/>
      <c r="G6" s="181" t="n"/>
      <c r="H6" s="18" t="inlineStr">
        <is>
          <t>TAG</t>
        </is>
      </c>
      <c r="I6" s="212" t="n"/>
      <c r="J6" s="212" t="n"/>
      <c r="K6" s="212" t="n"/>
      <c r="L6" s="212" t="n"/>
      <c r="M6" s="213" t="n"/>
      <c r="N6" s="223" t="n"/>
      <c r="O6" s="173" t="n"/>
      <c r="P6" s="173" t="n"/>
      <c r="Q6" s="173" t="n"/>
      <c r="R6" s="173" t="n"/>
      <c r="S6" s="177" t="n"/>
    </row>
    <row r="7">
      <c r="A7" s="3" t="inlineStr">
        <is>
          <t>Função</t>
        </is>
      </c>
      <c r="B7" s="158" t="n"/>
      <c r="C7" s="205" t="n"/>
      <c r="D7" s="205" t="n"/>
      <c r="E7" s="205" t="n"/>
      <c r="F7" s="205" t="n"/>
      <c r="G7" s="205" t="n"/>
      <c r="H7" s="3" t="inlineStr">
        <is>
          <t>Tipo</t>
        </is>
      </c>
      <c r="I7" s="205" t="n"/>
      <c r="J7" s="205" t="n"/>
      <c r="K7" s="205" t="n"/>
      <c r="L7" s="205" t="n"/>
      <c r="M7" s="206" t="n"/>
      <c r="N7" s="224" t="n"/>
      <c r="O7" s="184" t="n"/>
      <c r="P7" s="184" t="n"/>
      <c r="Q7" s="184" t="n"/>
      <c r="R7" s="184" t="n"/>
      <c r="S7" s="185" t="n"/>
    </row>
    <row r="8">
      <c r="A8" s="4" t="inlineStr">
        <is>
          <t>Fluxograma</t>
        </is>
      </c>
      <c r="B8" s="158" t="inlineStr">
        <is>
          <t>PHS2-PR27-1701-FL.04 Rev. 00N</t>
        </is>
      </c>
      <c r="C8" s="205" t="n"/>
      <c r="D8" s="205" t="n"/>
      <c r="E8" s="205" t="n"/>
      <c r="F8" s="205" t="n"/>
      <c r="G8" s="205" t="n"/>
      <c r="H8" s="3" t="inlineStr">
        <is>
          <t>Número de vias/posições</t>
        </is>
      </c>
      <c r="I8" s="205" t="n"/>
      <c r="J8" s="205" t="n"/>
      <c r="K8" s="205" t="n"/>
      <c r="L8" s="205" t="n"/>
      <c r="M8" s="206" t="n"/>
      <c r="N8" s="224" t="n"/>
      <c r="O8" s="184" t="n"/>
      <c r="P8" s="184" t="n"/>
      <c r="Q8" s="184" t="n"/>
      <c r="R8" s="184" t="n"/>
      <c r="S8" s="185" t="n"/>
    </row>
    <row r="9">
      <c r="A9" s="3" t="inlineStr">
        <is>
          <t>Bitola da linha</t>
        </is>
      </c>
      <c r="B9" s="158" t="n"/>
      <c r="C9" s="205" t="n"/>
      <c r="D9" s="205" t="n"/>
      <c r="E9" s="205" t="n"/>
      <c r="F9" s="205" t="n"/>
      <c r="G9" s="205" t="n"/>
      <c r="H9" s="3" t="inlineStr">
        <is>
          <t>Material do corpo</t>
        </is>
      </c>
      <c r="I9" s="205" t="n"/>
      <c r="J9" s="205" t="n"/>
      <c r="K9" s="205" t="n"/>
      <c r="L9" s="205" t="n"/>
      <c r="M9" s="206" t="n"/>
      <c r="N9" s="224" t="n"/>
      <c r="O9" s="184" t="n"/>
      <c r="P9" s="184" t="n"/>
      <c r="Q9" s="184" t="n"/>
      <c r="R9" s="184" t="n"/>
      <c r="S9" s="185" t="n"/>
    </row>
    <row r="10">
      <c r="A10" s="3" t="inlineStr">
        <is>
          <t>Tipo do corpo</t>
        </is>
      </c>
      <c r="B10" s="158" t="inlineStr">
        <is>
          <t>ESFERA AUTOMÁTICA</t>
        </is>
      </c>
      <c r="C10" s="205" t="n"/>
      <c r="D10" s="205" t="n"/>
      <c r="E10" s="205" t="n"/>
      <c r="F10" s="205" t="n"/>
      <c r="G10" s="205" t="n"/>
      <c r="H10" s="3" t="inlineStr">
        <is>
          <t>Classe da bobina</t>
        </is>
      </c>
      <c r="I10" s="205" t="n"/>
      <c r="J10" s="205" t="n"/>
      <c r="K10" s="205" t="n"/>
      <c r="L10" s="205" t="n"/>
      <c r="M10" s="206" t="n"/>
      <c r="N10" s="224" t="n"/>
      <c r="O10" s="184" t="n"/>
      <c r="P10" s="184" t="n"/>
      <c r="Q10" s="184" t="n"/>
      <c r="R10" s="184" t="n"/>
      <c r="S10" s="185" t="n"/>
    </row>
    <row r="11">
      <c r="A11" s="3" t="inlineStr">
        <is>
          <t>Material do corpo</t>
        </is>
      </c>
      <c r="B11" s="158" t="n"/>
      <c r="C11" s="205" t="n"/>
      <c r="D11" s="205" t="n"/>
      <c r="E11" s="205" t="n"/>
      <c r="F11" s="205" t="n"/>
      <c r="G11" s="205" t="n"/>
      <c r="H11" s="3" t="inlineStr">
        <is>
          <t>Número de bobinas</t>
        </is>
      </c>
      <c r="I11" s="205" t="n"/>
      <c r="J11" s="205" t="n"/>
      <c r="K11" s="205" t="n"/>
      <c r="L11" s="205" t="n"/>
      <c r="M11" s="206" t="n"/>
      <c r="N11" s="224" t="n"/>
      <c r="O11" s="184" t="n"/>
      <c r="P11" s="184" t="n"/>
      <c r="Q11" s="184" t="n"/>
      <c r="R11" s="184" t="n"/>
      <c r="S11" s="185" t="n"/>
    </row>
    <row r="12">
      <c r="A12" s="3" t="inlineStr">
        <is>
          <t>Diâmetro da válvula</t>
        </is>
      </c>
      <c r="B12" s="158" t="inlineStr">
        <is>
          <t>-</t>
        </is>
      </c>
      <c r="C12" s="205" t="n"/>
      <c r="D12" s="205" t="n"/>
      <c r="E12" s="205" t="n"/>
      <c r="F12" s="205" t="n"/>
      <c r="G12" s="205" t="n"/>
      <c r="H12" s="3" t="inlineStr">
        <is>
          <t>Conexão elétrica</t>
        </is>
      </c>
      <c r="I12" s="205" t="n"/>
      <c r="J12" s="205" t="n"/>
      <c r="K12" s="205" t="n"/>
      <c r="L12" s="205" t="n"/>
      <c r="M12" s="206" t="n"/>
      <c r="N12" s="224" t="n"/>
      <c r="O12" s="184" t="n"/>
      <c r="P12" s="184" t="n"/>
      <c r="Q12" s="184" t="n"/>
      <c r="R12" s="184" t="n"/>
      <c r="S12" s="185" t="n"/>
    </row>
    <row r="13">
      <c r="A13" s="3" t="inlineStr">
        <is>
          <t>Conexões e faceamento</t>
        </is>
      </c>
      <c r="B13" s="148" t="n"/>
      <c r="C13" s="205" t="n"/>
      <c r="D13" s="205" t="n"/>
      <c r="E13" s="205" t="n"/>
      <c r="F13" s="205" t="n"/>
      <c r="G13" s="205" t="n"/>
      <c r="H13" s="3" t="inlineStr">
        <is>
          <t>Conexão pneumática</t>
        </is>
      </c>
      <c r="I13" s="205" t="n"/>
      <c r="J13" s="205" t="n"/>
      <c r="K13" s="205" t="n"/>
      <c r="L13" s="205" t="n"/>
      <c r="M13" s="206" t="n"/>
      <c r="N13" s="224" t="n"/>
      <c r="O13" s="184" t="n"/>
      <c r="P13" s="184" t="n"/>
      <c r="Q13" s="184" t="n"/>
      <c r="R13" s="184" t="n"/>
      <c r="S13" s="185" t="n"/>
    </row>
    <row r="14">
      <c r="A14" s="3" t="inlineStr">
        <is>
          <t>Castelo</t>
        </is>
      </c>
      <c r="B14" s="148" t="n"/>
      <c r="C14" s="205" t="n"/>
      <c r="D14" s="205" t="n"/>
      <c r="E14" s="205" t="n"/>
      <c r="F14" s="205" t="n"/>
      <c r="G14" s="205" t="n"/>
      <c r="H14" s="3" t="inlineStr">
        <is>
          <t>Classificação da área</t>
        </is>
      </c>
      <c r="I14" s="205" t="n"/>
      <c r="J14" s="205" t="n"/>
      <c r="K14" s="205" t="n"/>
      <c r="L14" s="205" t="n"/>
      <c r="M14" s="206" t="n"/>
      <c r="N14" s="224" t="n"/>
      <c r="O14" s="184" t="n"/>
      <c r="P14" s="184" t="n"/>
      <c r="Q14" s="184" t="n"/>
      <c r="R14" s="184" t="n"/>
      <c r="S14" s="185" t="n"/>
    </row>
    <row r="15" ht="13.8" customHeight="1" thickBot="1">
      <c r="A15" s="16" t="inlineStr">
        <is>
          <t>Classe de vedação</t>
        </is>
      </c>
      <c r="B15" s="150" t="n"/>
      <c r="C15" s="184" t="n"/>
      <c r="D15" s="184" t="n"/>
      <c r="E15" s="184" t="n"/>
      <c r="F15" s="184" t="n"/>
      <c r="G15" s="184" t="n"/>
      <c r="H15" s="6" t="inlineStr">
        <is>
          <t>Classificação do invólucro</t>
        </is>
      </c>
      <c r="I15" s="208" t="n"/>
      <c r="J15" s="208" t="n"/>
      <c r="K15" s="208" t="n"/>
      <c r="L15" s="208" t="n"/>
      <c r="M15" s="209" t="n"/>
      <c r="N15" s="225" t="n"/>
      <c r="O15" s="208" t="n"/>
      <c r="P15" s="208" t="n"/>
      <c r="Q15" s="208" t="n"/>
      <c r="R15" s="208" t="n"/>
      <c r="S15" s="226" t="n"/>
    </row>
    <row r="16" ht="13.8" customHeight="1" thickBot="1">
      <c r="A16" s="220" t="inlineStr">
        <is>
          <t>INTERNOS</t>
        </is>
      </c>
      <c r="B16" s="221" t="n"/>
      <c r="C16" s="221" t="n"/>
      <c r="D16" s="221" t="n"/>
      <c r="E16" s="221" t="n"/>
      <c r="F16" s="221" t="n"/>
      <c r="G16" s="222" t="n"/>
      <c r="H16" s="220" t="inlineStr">
        <is>
          <t>FINS DE CURSO</t>
        </is>
      </c>
      <c r="I16" s="221" t="n"/>
      <c r="J16" s="221" t="n"/>
      <c r="K16" s="221" t="n"/>
      <c r="L16" s="221" t="n"/>
      <c r="M16" s="221" t="n"/>
      <c r="N16" s="221" t="n"/>
      <c r="O16" s="221" t="n"/>
      <c r="P16" s="221" t="n"/>
      <c r="Q16" s="221" t="n"/>
      <c r="R16" s="221" t="n"/>
      <c r="S16" s="222" t="n"/>
      <c r="X16" s="69" t="n"/>
      <c r="Y16" s="69" t="n"/>
      <c r="Z16" s="69" t="n"/>
    </row>
    <row r="17">
      <c r="A17" s="18" t="inlineStr">
        <is>
          <t>Material das gaxetas</t>
        </is>
      </c>
      <c r="B17" s="227" t="n"/>
      <c r="C17" s="212" t="n"/>
      <c r="D17" s="212" t="n"/>
      <c r="E17" s="212" t="n"/>
      <c r="F17" s="212" t="n"/>
      <c r="G17" s="214" t="n"/>
      <c r="H17" s="146" t="inlineStr">
        <is>
          <t>TAG</t>
        </is>
      </c>
      <c r="I17" s="181" t="n"/>
      <c r="J17" s="181" t="n"/>
      <c r="K17" s="181" t="n"/>
      <c r="L17" s="181" t="n"/>
      <c r="M17" s="202" t="n"/>
      <c r="N17" s="228" t="n"/>
      <c r="S17" s="192" t="n"/>
      <c r="X17" s="69" t="n"/>
      <c r="Z17" s="69" t="n"/>
    </row>
    <row r="18">
      <c r="A18" s="3" t="inlineStr">
        <is>
          <t>Sede</t>
        </is>
      </c>
      <c r="B18" s="229" t="n"/>
      <c r="C18" s="205" t="n"/>
      <c r="D18" s="205" t="n"/>
      <c r="E18" s="205" t="n"/>
      <c r="F18" s="205" t="n"/>
      <c r="G18" s="216" t="n"/>
      <c r="H18" s="130" t="inlineStr">
        <is>
          <t>Tipo</t>
        </is>
      </c>
      <c r="I18" s="205" t="n"/>
      <c r="J18" s="205" t="n"/>
      <c r="K18" s="205" t="n"/>
      <c r="L18" s="205" t="n"/>
      <c r="M18" s="206" t="n"/>
      <c r="N18" s="224" t="n"/>
      <c r="O18" s="184" t="n"/>
      <c r="P18" s="184" t="n"/>
      <c r="Q18" s="184" t="n"/>
      <c r="R18" s="184" t="n"/>
      <c r="S18" s="185" t="n"/>
      <c r="X18" s="69" t="n"/>
      <c r="Z18" s="69" t="n"/>
    </row>
    <row r="19">
      <c r="A19" s="5" t="inlineStr">
        <is>
          <t>Material do disco</t>
        </is>
      </c>
      <c r="B19" s="229" t="n"/>
      <c r="C19" s="205" t="n"/>
      <c r="D19" s="205" t="n"/>
      <c r="E19" s="205" t="n"/>
      <c r="F19" s="205" t="n"/>
      <c r="G19" s="216" t="n"/>
      <c r="H19" s="130" t="inlineStr">
        <is>
          <t>Quantidade</t>
        </is>
      </c>
      <c r="I19" s="205" t="n"/>
      <c r="J19" s="205" t="n"/>
      <c r="K19" s="205" t="n"/>
      <c r="L19" s="205" t="n"/>
      <c r="M19" s="206" t="n"/>
      <c r="N19" s="224" t="n"/>
      <c r="O19" s="184" t="n"/>
      <c r="P19" s="184" t="n"/>
      <c r="Q19" s="184" t="n"/>
      <c r="R19" s="184" t="n"/>
      <c r="S19" s="185" t="n"/>
      <c r="X19" s="69" t="n"/>
      <c r="Z19" s="69" t="n"/>
    </row>
    <row r="20">
      <c r="A20" s="5" t="inlineStr">
        <is>
          <t>Material da haste</t>
        </is>
      </c>
      <c r="B20" s="229" t="n"/>
      <c r="C20" s="205" t="n"/>
      <c r="D20" s="205" t="n"/>
      <c r="E20" s="205" t="n"/>
      <c r="F20" s="205" t="n"/>
      <c r="G20" s="216" t="n"/>
      <c r="H20" s="130" t="inlineStr">
        <is>
          <t>Tipo dos contatos</t>
        </is>
      </c>
      <c r="I20" s="205" t="n"/>
      <c r="J20" s="205" t="n"/>
      <c r="K20" s="205" t="n"/>
      <c r="L20" s="205" t="n"/>
      <c r="M20" s="206" t="n"/>
      <c r="N20" s="224" t="n"/>
      <c r="O20" s="184" t="n"/>
      <c r="P20" s="184" t="n"/>
      <c r="Q20" s="184" t="n"/>
      <c r="R20" s="184" t="n"/>
      <c r="S20" s="185" t="n"/>
      <c r="X20" s="69" t="n"/>
      <c r="Z20" s="69" t="n"/>
    </row>
    <row r="21">
      <c r="A21" s="3" t="inlineStr">
        <is>
          <t>Obturador balanceado</t>
        </is>
      </c>
      <c r="B21" s="229" t="n"/>
      <c r="C21" s="205" t="n"/>
      <c r="D21" s="205" t="n"/>
      <c r="E21" s="205" t="n"/>
      <c r="F21" s="205" t="n"/>
      <c r="G21" s="216" t="n"/>
      <c r="H21" s="130" t="inlineStr">
        <is>
          <t>Conexão elétrica</t>
        </is>
      </c>
      <c r="I21" s="205" t="n"/>
      <c r="J21" s="205" t="n"/>
      <c r="K21" s="205" t="n"/>
      <c r="L21" s="205" t="n"/>
      <c r="M21" s="206" t="n"/>
      <c r="N21" s="224" t="n"/>
      <c r="O21" s="184" t="n"/>
      <c r="P21" s="184" t="n"/>
      <c r="Q21" s="184" t="n"/>
      <c r="R21" s="184" t="n"/>
      <c r="S21" s="185" t="n"/>
      <c r="X21" s="69" t="n"/>
      <c r="Z21" s="69" t="n"/>
    </row>
    <row r="22">
      <c r="A22" s="3" t="inlineStr">
        <is>
          <t>Direção do fluxo</t>
        </is>
      </c>
      <c r="B22" s="229" t="n"/>
      <c r="C22" s="205" t="n"/>
      <c r="D22" s="205" t="n"/>
      <c r="E22" s="205" t="n"/>
      <c r="F22" s="205" t="n"/>
      <c r="G22" s="216" t="n"/>
      <c r="H22" s="130" t="inlineStr">
        <is>
          <t>Classificação de área</t>
        </is>
      </c>
      <c r="I22" s="205" t="n"/>
      <c r="J22" s="205" t="n"/>
      <c r="K22" s="205" t="n"/>
      <c r="L22" s="205" t="n"/>
      <c r="M22" s="206" t="n"/>
      <c r="N22" s="224" t="n"/>
      <c r="O22" s="184" t="n"/>
      <c r="P22" s="184" t="n"/>
      <c r="Q22" s="184" t="n"/>
      <c r="R22" s="184" t="n"/>
      <c r="S22" s="185" t="n"/>
      <c r="X22" s="69" t="n"/>
      <c r="Z22" s="69" t="n"/>
    </row>
    <row r="23" ht="13.8" customHeight="1" thickBot="1">
      <c r="A23" s="6" t="inlineStr">
        <is>
          <t>Guias</t>
        </is>
      </c>
      <c r="B23" s="230" t="n"/>
      <c r="C23" s="208" t="n"/>
      <c r="D23" s="208" t="n"/>
      <c r="E23" s="208" t="n"/>
      <c r="F23" s="208" t="n"/>
      <c r="G23" s="226" t="n"/>
      <c r="H23" s="147" t="inlineStr">
        <is>
          <t>Classificação do invólucro</t>
        </is>
      </c>
      <c r="I23" s="184" t="n"/>
      <c r="J23" s="184" t="n"/>
      <c r="K23" s="184" t="n"/>
      <c r="L23" s="184" t="n"/>
      <c r="M23" s="231" t="n"/>
      <c r="N23" s="224" t="n"/>
      <c r="O23" s="184" t="n"/>
      <c r="P23" s="184" t="n"/>
      <c r="Q23" s="184" t="n"/>
      <c r="R23" s="184" t="n"/>
      <c r="S23" s="185" t="n"/>
      <c r="X23" s="69" t="n"/>
      <c r="Z23" s="69" t="n"/>
    </row>
    <row r="24" ht="13.8" customHeight="1" thickBot="1">
      <c r="A24" s="220" t="inlineStr">
        <is>
          <t>ATUADOR</t>
        </is>
      </c>
      <c r="B24" s="221" t="n"/>
      <c r="C24" s="221" t="n"/>
      <c r="D24" s="221" t="n"/>
      <c r="E24" s="221" t="n"/>
      <c r="F24" s="221" t="n"/>
      <c r="G24" s="222" t="n"/>
      <c r="H24" s="220" t="inlineStr">
        <is>
          <t>DADOS DE PROCESSO</t>
        </is>
      </c>
      <c r="I24" s="221" t="n"/>
      <c r="J24" s="221" t="n"/>
      <c r="K24" s="221" t="n"/>
      <c r="L24" s="221" t="n"/>
      <c r="M24" s="221" t="n"/>
      <c r="N24" s="221" t="n"/>
      <c r="O24" s="221" t="n"/>
      <c r="P24" s="221" t="n"/>
      <c r="Q24" s="221" t="n"/>
      <c r="R24" s="221" t="n"/>
      <c r="S24" s="222" t="n"/>
    </row>
    <row r="25">
      <c r="A25" s="17" t="inlineStr">
        <is>
          <t>Tipo</t>
        </is>
      </c>
      <c r="B25" s="152" t="n"/>
      <c r="C25" s="181" t="n"/>
      <c r="D25" s="181" t="n"/>
      <c r="E25" s="181" t="n"/>
      <c r="F25" s="181" t="n"/>
      <c r="G25" s="181" t="n"/>
      <c r="H25" s="18" t="inlineStr">
        <is>
          <t>Fluido</t>
        </is>
      </c>
      <c r="I25" s="212" t="n"/>
      <c r="J25" s="212" t="n"/>
      <c r="K25" s="212" t="n"/>
      <c r="L25" s="212" t="n"/>
      <c r="M25" s="213" t="n"/>
      <c r="N25" s="232" t="inlineStr">
        <is>
          <t>(NOTA 1)</t>
        </is>
      </c>
      <c r="O25" s="173" t="n"/>
      <c r="P25" s="173" t="n"/>
      <c r="Q25" s="173" t="n"/>
      <c r="R25" s="173" t="n"/>
      <c r="S25" s="177" t="n"/>
    </row>
    <row r="26">
      <c r="A26" s="3" t="inlineStr">
        <is>
          <t>Range</t>
        </is>
      </c>
      <c r="B26" s="148" t="n"/>
      <c r="C26" s="205" t="n"/>
      <c r="D26" s="205" t="n"/>
      <c r="E26" s="205" t="n"/>
      <c r="F26" s="205" t="n"/>
      <c r="G26" s="205" t="n"/>
      <c r="H26" s="3" t="inlineStr">
        <is>
          <t>Estado físico</t>
        </is>
      </c>
      <c r="I26" s="205" t="n"/>
      <c r="J26" s="205" t="n"/>
      <c r="K26" s="205" t="n"/>
      <c r="L26" s="205" t="n"/>
      <c r="M26" s="206" t="n"/>
      <c r="N26" s="233" t="n"/>
      <c r="O26" s="184" t="n"/>
      <c r="P26" s="184" t="n"/>
      <c r="Q26" s="184" t="n"/>
      <c r="R26" s="184" t="n"/>
      <c r="S26" s="185" t="n"/>
    </row>
    <row r="27">
      <c r="A27" s="3" t="inlineStr">
        <is>
          <t>Volante</t>
        </is>
      </c>
      <c r="B27" s="148" t="n"/>
      <c r="C27" s="205" t="n"/>
      <c r="D27" s="205" t="n"/>
      <c r="E27" s="205" t="n"/>
      <c r="F27" s="205" t="n"/>
      <c r="G27" s="205" t="n"/>
      <c r="H27" s="3" t="inlineStr">
        <is>
          <t>Pressão de entrada</t>
        </is>
      </c>
      <c r="I27" s="205" t="n"/>
      <c r="J27" s="205" t="n"/>
      <c r="K27" s="205" t="n"/>
      <c r="L27" s="205" t="n"/>
      <c r="M27" s="206" t="n"/>
      <c r="N27" s="233" t="inlineStr">
        <is>
          <t>0,984</t>
        </is>
      </c>
      <c r="O27" s="184" t="n"/>
      <c r="P27" s="184" t="n"/>
      <c r="Q27" s="184" t="n"/>
      <c r="R27" s="184" t="n"/>
      <c r="S27" s="185" t="n"/>
    </row>
    <row r="28">
      <c r="A28" s="3" t="inlineStr">
        <is>
          <t>Ação em caso de falha</t>
        </is>
      </c>
      <c r="B28" s="148" t="n"/>
      <c r="C28" s="205" t="n"/>
      <c r="D28" s="205" t="n"/>
      <c r="E28" s="205" t="n"/>
      <c r="F28" s="205" t="n"/>
      <c r="G28" s="205" t="n"/>
      <c r="H28" s="3" t="inlineStr">
        <is>
          <t>Pressão de saída</t>
        </is>
      </c>
      <c r="I28" s="205" t="n"/>
      <c r="J28" s="205" t="n"/>
      <c r="K28" s="205" t="n"/>
      <c r="L28" s="205" t="n"/>
      <c r="M28" s="206" t="n"/>
      <c r="N28" s="233" t="n"/>
      <c r="O28" s="184" t="n"/>
      <c r="P28" s="184" t="n"/>
      <c r="Q28" s="184" t="n"/>
      <c r="R28" s="184" t="n"/>
      <c r="S28" s="185" t="n"/>
    </row>
    <row r="29" ht="13.8" customHeight="1" thickBot="1">
      <c r="A29" s="16" t="inlineStr">
        <is>
          <t>Pressão suprimento de ar (min/max)</t>
        </is>
      </c>
      <c r="B29" s="150" t="n"/>
      <c r="C29" s="184" t="n"/>
      <c r="D29" s="184" t="n"/>
      <c r="E29" s="184" t="n"/>
      <c r="F29" s="184" t="n"/>
      <c r="G29" s="184" t="n"/>
      <c r="H29" s="3" t="inlineStr">
        <is>
          <t>Viscosidade</t>
        </is>
      </c>
      <c r="I29" s="205" t="n"/>
      <c r="J29" s="205" t="n"/>
      <c r="K29" s="205" t="n"/>
      <c r="L29" s="205" t="n"/>
      <c r="M29" s="206" t="n"/>
      <c r="N29" s="233" t="inlineStr">
        <is>
          <t>&lt;50 cP</t>
        </is>
      </c>
      <c r="O29" s="184" t="n"/>
      <c r="P29" s="184" t="n"/>
      <c r="Q29" s="184" t="n"/>
      <c r="R29" s="184" t="n"/>
      <c r="S29" s="185" t="n"/>
    </row>
    <row r="30" ht="13.8" customHeight="1" thickBot="1">
      <c r="A30" s="142" t="inlineStr">
        <is>
          <t>POSICIONADOR</t>
        </is>
      </c>
      <c r="B30" s="221" t="n"/>
      <c r="C30" s="221" t="n"/>
      <c r="D30" s="221" t="n"/>
      <c r="E30" s="221" t="n"/>
      <c r="F30" s="221" t="n"/>
      <c r="G30" s="221" t="n"/>
      <c r="H30" s="3" t="inlineStr">
        <is>
          <t>Vazão normal</t>
        </is>
      </c>
      <c r="I30" s="205" t="n"/>
      <c r="J30" s="205" t="n"/>
      <c r="K30" s="205" t="n"/>
      <c r="L30" s="205" t="n"/>
      <c r="M30" s="206" t="n"/>
      <c r="N30" s="233" t="n"/>
      <c r="O30" s="184" t="n"/>
      <c r="P30" s="184" t="n"/>
      <c r="Q30" s="184" t="n"/>
      <c r="R30" s="184" t="n"/>
      <c r="S30" s="185" t="n"/>
    </row>
    <row r="31">
      <c r="A31" s="17" t="inlineStr">
        <is>
          <t>Tipo</t>
        </is>
      </c>
      <c r="B31" s="152" t="n"/>
      <c r="C31" s="181" t="n"/>
      <c r="D31" s="181" t="n"/>
      <c r="E31" s="181" t="n"/>
      <c r="F31" s="181" t="n"/>
      <c r="G31" s="181" t="n"/>
      <c r="H31" s="3" t="inlineStr">
        <is>
          <t>Vazão máxima</t>
        </is>
      </c>
      <c r="I31" s="205" t="n"/>
      <c r="J31" s="205" t="n"/>
      <c r="K31" s="205" t="n"/>
      <c r="L31" s="205" t="n"/>
      <c r="M31" s="206" t="n"/>
      <c r="N31" s="233" t="inlineStr">
        <is>
          <t>30.0</t>
        </is>
      </c>
      <c r="O31" s="184" t="n"/>
      <c r="P31" s="184" t="n"/>
      <c r="Q31" s="184" t="n"/>
      <c r="R31" s="184" t="n"/>
      <c r="S31" s="185" t="n"/>
    </row>
    <row r="32">
      <c r="A32" s="3" t="inlineStr">
        <is>
          <t>By-pass</t>
        </is>
      </c>
      <c r="B32" s="148" t="n"/>
      <c r="C32" s="205" t="n"/>
      <c r="D32" s="205" t="n"/>
      <c r="E32" s="205" t="n"/>
      <c r="F32" s="205" t="n"/>
      <c r="G32" s="205" t="n"/>
      <c r="H32" s="3" t="inlineStr">
        <is>
          <t>Vazão mínima</t>
        </is>
      </c>
      <c r="I32" s="205" t="n"/>
      <c r="J32" s="205" t="n"/>
      <c r="K32" s="205" t="n"/>
      <c r="L32" s="205" t="n"/>
      <c r="M32" s="206" t="n"/>
      <c r="N32" s="233" t="inlineStr">
        <is>
          <t>15.0</t>
        </is>
      </c>
      <c r="O32" s="184" t="n"/>
      <c r="P32" s="184" t="n"/>
      <c r="Q32" s="184" t="n"/>
      <c r="R32" s="184" t="n"/>
      <c r="S32" s="185" t="n"/>
    </row>
    <row r="33">
      <c r="A33" s="3" t="inlineStr">
        <is>
          <t>Manômetros quantidade</t>
        </is>
      </c>
      <c r="B33" s="148" t="n"/>
      <c r="C33" s="205" t="n"/>
      <c r="D33" s="205" t="n"/>
      <c r="E33" s="205" t="n"/>
      <c r="F33" s="205" t="n"/>
      <c r="G33" s="205" t="n"/>
      <c r="H33" s="3" t="inlineStr">
        <is>
          <t>Pressão shut off</t>
        </is>
      </c>
      <c r="I33" s="205" t="n"/>
      <c r="J33" s="205" t="n"/>
      <c r="K33" s="205" t="n"/>
      <c r="L33" s="205" t="n"/>
      <c r="M33" s="206" t="n"/>
      <c r="N33" s="233" t="n"/>
      <c r="O33" s="184" t="n"/>
      <c r="P33" s="184" t="n"/>
      <c r="Q33" s="184" t="n"/>
      <c r="R33" s="184" t="n"/>
      <c r="S33" s="185" t="n"/>
    </row>
    <row r="34">
      <c r="A34" s="3" t="inlineStr">
        <is>
          <t>Sinal de entrada</t>
        </is>
      </c>
      <c r="B34" s="148" t="n"/>
      <c r="C34" s="205" t="n"/>
      <c r="D34" s="205" t="n"/>
      <c r="E34" s="205" t="n"/>
      <c r="F34" s="205" t="n"/>
      <c r="G34" s="205" t="n"/>
      <c r="H34" s="3" t="inlineStr">
        <is>
          <t>Temperatura máxima</t>
        </is>
      </c>
      <c r="I34" s="205" t="n"/>
      <c r="J34" s="205" t="n"/>
      <c r="K34" s="205" t="n"/>
      <c r="L34" s="205" t="n"/>
      <c r="M34" s="206" t="n"/>
      <c r="N34" s="233" t="inlineStr">
        <is>
          <t>35</t>
        </is>
      </c>
      <c r="O34" s="184" t="n"/>
      <c r="P34" s="184" t="n"/>
      <c r="Q34" s="184" t="n"/>
      <c r="R34" s="184" t="n"/>
      <c r="S34" s="185" t="n"/>
    </row>
    <row r="35">
      <c r="A35" s="3" t="inlineStr">
        <is>
          <t>Sial de saída</t>
        </is>
      </c>
      <c r="B35" s="148" t="n"/>
      <c r="C35" s="205" t="n"/>
      <c r="D35" s="205" t="n"/>
      <c r="E35" s="205" t="n"/>
      <c r="F35" s="205" t="n"/>
      <c r="G35" s="205" t="n"/>
      <c r="H35" s="3" t="inlineStr">
        <is>
          <t>Temperatura normal</t>
        </is>
      </c>
      <c r="I35" s="205" t="n"/>
      <c r="J35" s="205" t="n"/>
      <c r="K35" s="205" t="n"/>
      <c r="L35" s="205" t="n"/>
      <c r="M35" s="206" t="n"/>
      <c r="N35" s="233" t="n"/>
      <c r="O35" s="184" t="n"/>
      <c r="P35" s="184" t="n"/>
      <c r="Q35" s="184" t="n"/>
      <c r="R35" s="184" t="n"/>
      <c r="S35" s="185" t="n"/>
    </row>
    <row r="36">
      <c r="A36" s="3" t="inlineStr">
        <is>
          <t>Característica do came</t>
        </is>
      </c>
      <c r="B36" s="148" t="n"/>
      <c r="C36" s="205" t="n"/>
      <c r="D36" s="205" t="n"/>
      <c r="E36" s="205" t="n"/>
      <c r="F36" s="205" t="n"/>
      <c r="G36" s="205" t="n"/>
      <c r="H36" s="3" t="inlineStr">
        <is>
          <t>Massa específica</t>
        </is>
      </c>
      <c r="I36" s="205" t="n"/>
      <c r="J36" s="205" t="n"/>
      <c r="K36" s="205" t="n"/>
      <c r="L36" s="205" t="n"/>
      <c r="M36" s="206" t="n"/>
      <c r="N36" s="233" t="inlineStr">
        <is>
          <t>1120 kg/m3</t>
        </is>
      </c>
      <c r="O36" s="184" t="n"/>
      <c r="P36" s="184" t="n"/>
      <c r="Q36" s="184" t="n"/>
      <c r="R36" s="184" t="n"/>
      <c r="S36" s="185" t="n"/>
    </row>
    <row r="37" ht="13.8" customHeight="1" thickBot="1">
      <c r="A37" s="16" t="inlineStr">
        <is>
          <t>Alimentação de ar</t>
        </is>
      </c>
      <c r="B37" s="150" t="n"/>
      <c r="C37" s="184" t="n"/>
      <c r="D37" s="184" t="n"/>
      <c r="E37" s="184" t="n"/>
      <c r="F37" s="184" t="n"/>
      <c r="G37" s="184" t="n"/>
      <c r="H37" s="3" t="inlineStr">
        <is>
          <t>Cv calculado (máximo) / % abertura</t>
        </is>
      </c>
      <c r="I37" s="205" t="n"/>
      <c r="J37" s="205" t="n"/>
      <c r="K37" s="205" t="n"/>
      <c r="L37" s="205" t="n"/>
      <c r="M37" s="206" t="n"/>
      <c r="N37" s="224" t="n"/>
      <c r="O37" s="184" t="n"/>
      <c r="P37" s="184" t="n"/>
      <c r="Q37" s="184" t="n"/>
      <c r="R37" s="184" t="n"/>
      <c r="S37" s="185" t="n"/>
    </row>
    <row r="38" ht="13.8" customHeight="1" thickBot="1">
      <c r="A38" s="142" t="inlineStr">
        <is>
          <t>ACESSÓRIOS</t>
        </is>
      </c>
      <c r="B38" s="221" t="n"/>
      <c r="C38" s="221" t="n"/>
      <c r="D38" s="221" t="n"/>
      <c r="E38" s="221" t="n"/>
      <c r="F38" s="221" t="n"/>
      <c r="G38" s="221" t="n"/>
      <c r="H38" s="3" t="inlineStr">
        <is>
          <t>Cv calculado (normal) / % abertura</t>
        </is>
      </c>
      <c r="I38" s="205" t="n"/>
      <c r="J38" s="205" t="n"/>
      <c r="K38" s="205" t="n"/>
      <c r="L38" s="205" t="n"/>
      <c r="M38" s="206" t="n"/>
      <c r="N38" s="224" t="n"/>
      <c r="O38" s="184" t="n"/>
      <c r="P38" s="184" t="n"/>
      <c r="Q38" s="184" t="n"/>
      <c r="R38" s="184" t="n"/>
      <c r="S38" s="185" t="n"/>
    </row>
    <row r="39">
      <c r="A39" s="17" t="inlineStr">
        <is>
          <t>Filtro / Filtro regulador</t>
        </is>
      </c>
      <c r="B39" s="152" t="n"/>
      <c r="C39" s="181" t="n"/>
      <c r="D39" s="181" t="n"/>
      <c r="E39" s="181" t="n"/>
      <c r="F39" s="181" t="n"/>
      <c r="G39" s="181" t="n"/>
      <c r="H39" s="3" t="inlineStr">
        <is>
          <t>Cv calculado (mínimo) / % abertura</t>
        </is>
      </c>
      <c r="I39" s="205" t="n"/>
      <c r="J39" s="205" t="n"/>
      <c r="K39" s="205" t="n"/>
      <c r="L39" s="205" t="n"/>
      <c r="M39" s="206" t="n"/>
      <c r="N39" s="224" t="n"/>
      <c r="O39" s="184" t="n"/>
      <c r="P39" s="184" t="n"/>
      <c r="Q39" s="184" t="n"/>
      <c r="R39" s="184" t="n"/>
      <c r="S39" s="185" t="n"/>
    </row>
    <row r="40">
      <c r="A40" s="3" t="inlineStr">
        <is>
          <t>Manômetro para o regulador</t>
        </is>
      </c>
      <c r="B40" s="148" t="n"/>
      <c r="C40" s="205" t="n"/>
      <c r="D40" s="205" t="n"/>
      <c r="E40" s="205" t="n"/>
      <c r="F40" s="205" t="n"/>
      <c r="G40" s="205" t="n"/>
      <c r="H40" s="3" t="inlineStr">
        <is>
          <t>Cv selecionado</t>
        </is>
      </c>
      <c r="I40" s="205" t="n"/>
      <c r="J40" s="205" t="n"/>
      <c r="K40" s="205" t="n"/>
      <c r="L40" s="205" t="n"/>
      <c r="M40" s="206" t="n"/>
      <c r="N40" s="224" t="n"/>
      <c r="O40" s="184" t="n"/>
      <c r="P40" s="184" t="n"/>
      <c r="Q40" s="184" t="n"/>
      <c r="R40" s="184" t="n"/>
      <c r="S40" s="185" t="n"/>
    </row>
    <row r="41" ht="13.8" customHeight="1" thickBot="1">
      <c r="A41" s="6" t="inlineStr">
        <is>
          <t>Posição do volante</t>
        </is>
      </c>
      <c r="B41" s="154" t="n"/>
      <c r="C41" s="208" t="n"/>
      <c r="D41" s="208" t="n"/>
      <c r="E41" s="208" t="n"/>
      <c r="F41" s="208" t="n"/>
      <c r="G41" s="208" t="n"/>
      <c r="H41" s="6" t="inlineStr">
        <is>
          <t>Nível de ruído</t>
        </is>
      </c>
      <c r="I41" s="208" t="n"/>
      <c r="J41" s="208" t="n"/>
      <c r="K41" s="208" t="n"/>
      <c r="L41" s="208" t="n"/>
      <c r="M41" s="209" t="n"/>
      <c r="N41" s="225" t="n"/>
      <c r="O41" s="208" t="n"/>
      <c r="P41" s="208" t="n"/>
      <c r="Q41" s="208" t="n"/>
      <c r="R41" s="208" t="n"/>
      <c r="S41" s="226" t="n"/>
    </row>
    <row r="42">
      <c r="A42" s="234" t="inlineStr">
        <is>
          <t>Notas:</t>
        </is>
      </c>
      <c r="B42" s="173" t="n"/>
      <c r="C42" s="173" t="n"/>
      <c r="D42" s="173" t="n"/>
      <c r="E42" s="173" t="n"/>
      <c r="F42" s="173" t="n"/>
      <c r="G42" s="173" t="n"/>
      <c r="H42" s="173" t="n"/>
      <c r="I42" s="173" t="n"/>
      <c r="J42" s="173" t="n"/>
      <c r="K42" s="173" t="n"/>
      <c r="L42" s="173" t="n"/>
      <c r="M42" s="173" t="n"/>
      <c r="N42" s="173" t="n"/>
      <c r="O42" s="173" t="n"/>
      <c r="P42" s="173" t="n"/>
      <c r="Q42" s="173" t="n"/>
      <c r="R42" s="173" t="n"/>
      <c r="S42" s="177" t="n"/>
    </row>
    <row r="43" ht="13.8" customHeight="1" thickBot="1">
      <c r="A43" s="235" t="inlineStr">
        <is>
          <t>(NOTA 1): CRESTIVO (A16003E); BIRK 25% (A25191A); BIRTEA; CRESTIVO DUO</t>
        </is>
      </c>
      <c r="B43" s="197" t="n"/>
      <c r="C43" s="197" t="n"/>
      <c r="D43" s="197" t="n"/>
      <c r="E43" s="197" t="n"/>
      <c r="F43" s="197" t="n"/>
      <c r="G43" s="197" t="n"/>
      <c r="H43" s="197" t="n"/>
      <c r="I43" s="197" t="n"/>
      <c r="J43" s="197" t="n"/>
      <c r="K43" s="197" t="n"/>
      <c r="L43" s="197" t="n"/>
      <c r="M43" s="197" t="n"/>
      <c r="N43" s="197" t="n"/>
      <c r="O43" s="197" t="n"/>
      <c r="P43" s="197" t="n"/>
      <c r="Q43" s="197" t="n"/>
      <c r="R43" s="197" t="n"/>
      <c r="S43" s="199" t="n"/>
    </row>
    <row r="44">
      <c r="A44" s="7" t="n"/>
    </row>
    <row r="45">
      <c r="A45" s="2" t="n"/>
    </row>
    <row r="46">
      <c r="A46" s="2" t="n"/>
    </row>
    <row r="47">
      <c r="A47" s="2" t="n"/>
    </row>
    <row r="48">
      <c r="A48" s="2" t="n"/>
    </row>
    <row r="49">
      <c r="A49" s="2" t="n"/>
    </row>
    <row r="50">
      <c r="A50" s="2" t="n"/>
    </row>
    <row r="51">
      <c r="A51" s="2" t="n"/>
    </row>
    <row r="52">
      <c r="A52" s="2" t="n"/>
    </row>
    <row r="53">
      <c r="A53" s="2" t="n"/>
    </row>
    <row r="54">
      <c r="A54" s="2" t="n"/>
    </row>
  </sheetData>
  <mergeCells count="116">
    <mergeCell ref="H21:M21"/>
    <mergeCell ref="N23:S23"/>
    <mergeCell ref="B8:G8"/>
    <mergeCell ref="N18:S18"/>
    <mergeCell ref="A1:A4"/>
    <mergeCell ref="N8:S8"/>
    <mergeCell ref="H7:M7"/>
    <mergeCell ref="B10:G10"/>
    <mergeCell ref="N10:S10"/>
    <mergeCell ref="A30:G30"/>
    <mergeCell ref="H27:M27"/>
    <mergeCell ref="N34:S34"/>
    <mergeCell ref="H33:M33"/>
    <mergeCell ref="B36:G36"/>
    <mergeCell ref="N27:S27"/>
    <mergeCell ref="H5:S5"/>
    <mergeCell ref="N36:S36"/>
    <mergeCell ref="H35:M35"/>
    <mergeCell ref="N11:S11"/>
    <mergeCell ref="N20:S20"/>
    <mergeCell ref="B22:G22"/>
    <mergeCell ref="B31:G31"/>
    <mergeCell ref="N22:S22"/>
    <mergeCell ref="H9:M9"/>
    <mergeCell ref="B12:G12"/>
    <mergeCell ref="H39:M39"/>
    <mergeCell ref="B21:G21"/>
    <mergeCell ref="B39:G39"/>
    <mergeCell ref="N12:S12"/>
    <mergeCell ref="N21:S21"/>
    <mergeCell ref="B14:G14"/>
    <mergeCell ref="B23:G23"/>
    <mergeCell ref="N14:S14"/>
    <mergeCell ref="B13:G13"/>
    <mergeCell ref="A43:S43"/>
    <mergeCell ref="N38:S38"/>
    <mergeCell ref="H16:S16"/>
    <mergeCell ref="H32:M32"/>
    <mergeCell ref="H13:M13"/>
    <mergeCell ref="N40:S40"/>
    <mergeCell ref="B33:G33"/>
    <mergeCell ref="H15:M15"/>
    <mergeCell ref="H18:M18"/>
    <mergeCell ref="B41:G41"/>
    <mergeCell ref="B35:G35"/>
    <mergeCell ref="C2:S2"/>
    <mergeCell ref="H8:M8"/>
    <mergeCell ref="N26:S26"/>
    <mergeCell ref="N35:S35"/>
    <mergeCell ref="H26:M26"/>
    <mergeCell ref="B25:G25"/>
    <mergeCell ref="N25:S25"/>
    <mergeCell ref="H10:M10"/>
    <mergeCell ref="H41:M41"/>
    <mergeCell ref="B27:G27"/>
    <mergeCell ref="H34:M34"/>
    <mergeCell ref="H25:M25"/>
    <mergeCell ref="B11:G11"/>
    <mergeCell ref="A5:G5"/>
    <mergeCell ref="A42:S42"/>
    <mergeCell ref="H36:M36"/>
    <mergeCell ref="A38:G38"/>
    <mergeCell ref="H17:M17"/>
    <mergeCell ref="N39:S39"/>
    <mergeCell ref="H11:M11"/>
    <mergeCell ref="B29:G29"/>
    <mergeCell ref="N29:S29"/>
    <mergeCell ref="H19:M19"/>
    <mergeCell ref="H28:M28"/>
    <mergeCell ref="H37:M37"/>
    <mergeCell ref="A24:G24"/>
    <mergeCell ref="N13:S13"/>
    <mergeCell ref="B40:G40"/>
    <mergeCell ref="H12:M12"/>
    <mergeCell ref="N31:S31"/>
    <mergeCell ref="B15:G15"/>
    <mergeCell ref="J1:S1"/>
    <mergeCell ref="N6:S6"/>
    <mergeCell ref="N15:S15"/>
    <mergeCell ref="H24:S24"/>
    <mergeCell ref="H14:M14"/>
    <mergeCell ref="B32:G32"/>
    <mergeCell ref="H23:M23"/>
    <mergeCell ref="A16:G16"/>
    <mergeCell ref="B26:G26"/>
    <mergeCell ref="Y16:Y23"/>
    <mergeCell ref="B7:G7"/>
    <mergeCell ref="H38:M38"/>
    <mergeCell ref="N32:S32"/>
    <mergeCell ref="N7:S7"/>
    <mergeCell ref="N41:S41"/>
    <mergeCell ref="H40:M40"/>
    <mergeCell ref="B18:G18"/>
    <mergeCell ref="N33:S33"/>
    <mergeCell ref="B17:G17"/>
    <mergeCell ref="N17:S17"/>
    <mergeCell ref="B19:G19"/>
    <mergeCell ref="B34:G34"/>
    <mergeCell ref="B28:G28"/>
    <mergeCell ref="B37:G37"/>
    <mergeCell ref="N19:S19"/>
    <mergeCell ref="H22:M22"/>
    <mergeCell ref="B9:G9"/>
    <mergeCell ref="N28:S28"/>
    <mergeCell ref="N9:S9"/>
    <mergeCell ref="B6:G6"/>
    <mergeCell ref="B20:G20"/>
    <mergeCell ref="N30:S30"/>
    <mergeCell ref="B3:S4"/>
    <mergeCell ref="H30:M30"/>
    <mergeCell ref="H20:M20"/>
    <mergeCell ref="H29:M29"/>
    <mergeCell ref="B1:H1"/>
    <mergeCell ref="N37:S37"/>
    <mergeCell ref="H31:M31"/>
    <mergeCell ref="H6:M6"/>
  </mergeCells>
  <pageMargins left="0.25" right="0.25" top="0.75" bottom="0.75" header="0.3" footer="0.3"/>
  <pageSetup orientation="portrait" paperSize="9" scale="82"/>
</worksheet>
</file>

<file path=xl/worksheets/sheet10.xml><?xml version="1.0" encoding="utf-8"?>
<worksheet xmlns="http://schemas.openxmlformats.org/spreadsheetml/2006/main">
  <sheetPr codeName="Planilha2">
    <outlinePr summaryBelow="1" summaryRight="1"/>
    <pageSetUpPr fitToPage="1"/>
  </sheetPr>
  <dimension ref="A1:Z54"/>
  <sheetViews>
    <sheetView workbookViewId="0">
      <selection activeCell="A1" sqref="A1"/>
    </sheetView>
  </sheetViews>
  <sheetFormatPr baseColWidth="8" defaultRowHeight="13.2"/>
  <cols>
    <col width="35.109375" bestFit="1" customWidth="1" style="137" min="1" max="1"/>
    <col width="4.88671875" customWidth="1" style="137" min="2" max="19"/>
  </cols>
  <sheetData>
    <row r="1" ht="14.25" customHeight="1">
      <c r="A1" s="210">
        <f>_xlfn.IMAGE("https://technikgrupo.sharepoint.com/sites/transfer/Logos/Technik.png")</f>
        <v/>
      </c>
      <c r="B1" s="211" t="inlineStr">
        <is>
          <t>FOLHA DE DADOS</t>
        </is>
      </c>
      <c r="C1" s="212" t="n"/>
      <c r="D1" s="212" t="n"/>
      <c r="E1" s="212" t="n"/>
      <c r="F1" s="212" t="n"/>
      <c r="G1" s="212" t="n"/>
      <c r="H1" s="213" t="n"/>
      <c r="I1" s="19" t="inlineStr">
        <is>
          <t>Nº.:</t>
        </is>
      </c>
      <c r="J1" s="166">
        <f>"FD-"&amp;Config!D2&amp;"-"&amp;Config!F2&amp;"-001"</f>
        <v/>
      </c>
      <c r="K1" s="212" t="n"/>
      <c r="L1" s="212" t="n"/>
      <c r="M1" s="212" t="n"/>
      <c r="N1" s="212" t="n"/>
      <c r="O1" s="212" t="n"/>
      <c r="P1" s="212" t="n"/>
      <c r="Q1" s="212" t="n"/>
      <c r="R1" s="212" t="n"/>
      <c r="S1" s="214" t="n"/>
    </row>
    <row r="2" ht="14.25" customHeight="1">
      <c r="A2" s="215" t="n"/>
      <c r="B2" s="20" t="inlineStr">
        <is>
          <t>ÁREA:</t>
        </is>
      </c>
      <c r="C2" s="164" t="inlineStr">
        <is>
          <t>PÁTIO D3</t>
        </is>
      </c>
      <c r="D2" s="205" t="n"/>
      <c r="E2" s="205" t="n"/>
      <c r="F2" s="205" t="n"/>
      <c r="G2" s="205" t="n"/>
      <c r="H2" s="205" t="n"/>
      <c r="I2" s="205" t="n"/>
      <c r="J2" s="205" t="n"/>
      <c r="K2" s="205" t="n"/>
      <c r="L2" s="205" t="n"/>
      <c r="M2" s="205" t="n"/>
      <c r="N2" s="205" t="n"/>
      <c r="O2" s="205" t="n"/>
      <c r="P2" s="205" t="n"/>
      <c r="Q2" s="205" t="n"/>
      <c r="R2" s="205" t="n"/>
      <c r="S2" s="216" t="n"/>
    </row>
    <row r="3" ht="14.25" customHeight="1">
      <c r="A3" s="215" t="n"/>
      <c r="B3" s="217" t="inlineStr">
        <is>
          <t>VÁLVULA ON OFF</t>
        </is>
      </c>
      <c r="C3" s="184" t="n"/>
      <c r="D3" s="184" t="n"/>
      <c r="E3" s="184" t="n"/>
      <c r="F3" s="184" t="n"/>
      <c r="G3" s="184" t="n"/>
      <c r="H3" s="184" t="n"/>
      <c r="I3" s="184" t="n"/>
      <c r="J3" s="184" t="n"/>
      <c r="K3" s="184" t="n"/>
      <c r="L3" s="184" t="n"/>
      <c r="M3" s="184" t="n"/>
      <c r="N3" s="184" t="n"/>
      <c r="O3" s="184" t="n"/>
      <c r="P3" s="184" t="n"/>
      <c r="Q3" s="184" t="n"/>
      <c r="R3" s="184" t="n"/>
      <c r="S3" s="185" t="n"/>
    </row>
    <row r="4" ht="14.25" customHeight="1" thickBot="1">
      <c r="A4" s="218" t="n"/>
      <c r="B4" s="219" t="n"/>
      <c r="C4" s="197" t="n"/>
      <c r="D4" s="197" t="n"/>
      <c r="E4" s="197" t="n"/>
      <c r="F4" s="197" t="n"/>
      <c r="G4" s="197" t="n"/>
      <c r="H4" s="197" t="n"/>
      <c r="I4" s="197" t="n"/>
      <c r="J4" s="197" t="n"/>
      <c r="K4" s="197" t="n"/>
      <c r="L4" s="197" t="n"/>
      <c r="M4" s="197" t="n"/>
      <c r="N4" s="197" t="n"/>
      <c r="O4" s="197" t="n"/>
      <c r="P4" s="197" t="n"/>
      <c r="Q4" s="197" t="n"/>
      <c r="R4" s="197" t="n"/>
      <c r="S4" s="199" t="n"/>
    </row>
    <row r="5" ht="13.8" customHeight="1" thickBot="1">
      <c r="A5" s="220" t="inlineStr">
        <is>
          <t>GERAL</t>
        </is>
      </c>
      <c r="B5" s="221" t="n"/>
      <c r="C5" s="221" t="n"/>
      <c r="D5" s="221" t="n"/>
      <c r="E5" s="221" t="n"/>
      <c r="F5" s="221" t="n"/>
      <c r="G5" s="222" t="n"/>
      <c r="H5" s="220" t="inlineStr">
        <is>
          <t>VÁLVULA SOLENÓIDE</t>
        </is>
      </c>
      <c r="I5" s="221" t="n"/>
      <c r="J5" s="221" t="n"/>
      <c r="K5" s="221" t="n"/>
      <c r="L5" s="221" t="n"/>
      <c r="M5" s="221" t="n"/>
      <c r="N5" s="221" t="n"/>
      <c r="O5" s="221" t="n"/>
      <c r="P5" s="221" t="n"/>
      <c r="Q5" s="221" t="n"/>
      <c r="R5" s="221" t="n"/>
      <c r="S5" s="222" t="n"/>
    </row>
    <row r="6">
      <c r="A6" s="17" t="inlineStr">
        <is>
          <t>TAG / Quantidade</t>
        </is>
      </c>
      <c r="B6" s="167" t="inlineStr">
        <is>
          <t>XV-1710.6</t>
        </is>
      </c>
      <c r="C6" s="181" t="n"/>
      <c r="D6" s="181" t="n"/>
      <c r="E6" s="181" t="n"/>
      <c r="F6" s="181" t="n"/>
      <c r="G6" s="181" t="n"/>
      <c r="H6" s="18" t="inlineStr">
        <is>
          <t>TAG</t>
        </is>
      </c>
      <c r="I6" s="212" t="n"/>
      <c r="J6" s="212" t="n"/>
      <c r="K6" s="212" t="n"/>
      <c r="L6" s="212" t="n"/>
      <c r="M6" s="213" t="n"/>
      <c r="N6" s="223" t="n"/>
      <c r="O6" s="173" t="n"/>
      <c r="P6" s="173" t="n"/>
      <c r="Q6" s="173" t="n"/>
      <c r="R6" s="173" t="n"/>
      <c r="S6" s="177" t="n"/>
    </row>
    <row r="7">
      <c r="A7" s="3" t="inlineStr">
        <is>
          <t>Função</t>
        </is>
      </c>
      <c r="B7" s="158" t="n"/>
      <c r="C7" s="205" t="n"/>
      <c r="D7" s="205" t="n"/>
      <c r="E7" s="205" t="n"/>
      <c r="F7" s="205" t="n"/>
      <c r="G7" s="205" t="n"/>
      <c r="H7" s="3" t="inlineStr">
        <is>
          <t>Tipo</t>
        </is>
      </c>
      <c r="I7" s="205" t="n"/>
      <c r="J7" s="205" t="n"/>
      <c r="K7" s="205" t="n"/>
      <c r="L7" s="205" t="n"/>
      <c r="M7" s="206" t="n"/>
      <c r="N7" s="224" t="n"/>
      <c r="O7" s="184" t="n"/>
      <c r="P7" s="184" t="n"/>
      <c r="Q7" s="184" t="n"/>
      <c r="R7" s="184" t="n"/>
      <c r="S7" s="185" t="n"/>
    </row>
    <row r="8">
      <c r="A8" s="4" t="inlineStr">
        <is>
          <t>Fluxograma</t>
        </is>
      </c>
      <c r="B8" s="158" t="inlineStr">
        <is>
          <t>PHS2-PR27-1701-FL.04 Rev. 00N</t>
        </is>
      </c>
      <c r="C8" s="205" t="n"/>
      <c r="D8" s="205" t="n"/>
      <c r="E8" s="205" t="n"/>
      <c r="F8" s="205" t="n"/>
      <c r="G8" s="205" t="n"/>
      <c r="H8" s="3" t="inlineStr">
        <is>
          <t>Número de vias/posições</t>
        </is>
      </c>
      <c r="I8" s="205" t="n"/>
      <c r="J8" s="205" t="n"/>
      <c r="K8" s="205" t="n"/>
      <c r="L8" s="205" t="n"/>
      <c r="M8" s="206" t="n"/>
      <c r="N8" s="224" t="n"/>
      <c r="O8" s="184" t="n"/>
      <c r="P8" s="184" t="n"/>
      <c r="Q8" s="184" t="n"/>
      <c r="R8" s="184" t="n"/>
      <c r="S8" s="185" t="n"/>
    </row>
    <row r="9">
      <c r="A9" s="3" t="inlineStr">
        <is>
          <t>Bitola da linha</t>
        </is>
      </c>
      <c r="B9" s="158" t="n"/>
      <c r="C9" s="205" t="n"/>
      <c r="D9" s="205" t="n"/>
      <c r="E9" s="205" t="n"/>
      <c r="F9" s="205" t="n"/>
      <c r="G9" s="205" t="n"/>
      <c r="H9" s="3" t="inlineStr">
        <is>
          <t>Material do corpo</t>
        </is>
      </c>
      <c r="I9" s="205" t="n"/>
      <c r="J9" s="205" t="n"/>
      <c r="K9" s="205" t="n"/>
      <c r="L9" s="205" t="n"/>
      <c r="M9" s="206" t="n"/>
      <c r="N9" s="224" t="n"/>
      <c r="O9" s="184" t="n"/>
      <c r="P9" s="184" t="n"/>
      <c r="Q9" s="184" t="n"/>
      <c r="R9" s="184" t="n"/>
      <c r="S9" s="185" t="n"/>
    </row>
    <row r="10">
      <c r="A10" s="3" t="inlineStr">
        <is>
          <t>Tipo do corpo</t>
        </is>
      </c>
      <c r="B10" s="158" t="inlineStr">
        <is>
          <t>ESFERA AUTOMÁTICA</t>
        </is>
      </c>
      <c r="C10" s="205" t="n"/>
      <c r="D10" s="205" t="n"/>
      <c r="E10" s="205" t="n"/>
      <c r="F10" s="205" t="n"/>
      <c r="G10" s="205" t="n"/>
      <c r="H10" s="3" t="inlineStr">
        <is>
          <t>Classe da bobina</t>
        </is>
      </c>
      <c r="I10" s="205" t="n"/>
      <c r="J10" s="205" t="n"/>
      <c r="K10" s="205" t="n"/>
      <c r="L10" s="205" t="n"/>
      <c r="M10" s="206" t="n"/>
      <c r="N10" s="224" t="n"/>
      <c r="O10" s="184" t="n"/>
      <c r="P10" s="184" t="n"/>
      <c r="Q10" s="184" t="n"/>
      <c r="R10" s="184" t="n"/>
      <c r="S10" s="185" t="n"/>
    </row>
    <row r="11">
      <c r="A11" s="3" t="inlineStr">
        <is>
          <t>Material do corpo</t>
        </is>
      </c>
      <c r="B11" s="158" t="n"/>
      <c r="C11" s="205" t="n"/>
      <c r="D11" s="205" t="n"/>
      <c r="E11" s="205" t="n"/>
      <c r="F11" s="205" t="n"/>
      <c r="G11" s="205" t="n"/>
      <c r="H11" s="3" t="inlineStr">
        <is>
          <t>Número de bobinas</t>
        </is>
      </c>
      <c r="I11" s="205" t="n"/>
      <c r="J11" s="205" t="n"/>
      <c r="K11" s="205" t="n"/>
      <c r="L11" s="205" t="n"/>
      <c r="M11" s="206" t="n"/>
      <c r="N11" s="224" t="n"/>
      <c r="O11" s="184" t="n"/>
      <c r="P11" s="184" t="n"/>
      <c r="Q11" s="184" t="n"/>
      <c r="R11" s="184" t="n"/>
      <c r="S11" s="185" t="n"/>
    </row>
    <row r="12">
      <c r="A12" s="3" t="inlineStr">
        <is>
          <t>Diâmetro da válvula</t>
        </is>
      </c>
      <c r="B12" s="158" t="inlineStr">
        <is>
          <t>-</t>
        </is>
      </c>
      <c r="C12" s="205" t="n"/>
      <c r="D12" s="205" t="n"/>
      <c r="E12" s="205" t="n"/>
      <c r="F12" s="205" t="n"/>
      <c r="G12" s="205" t="n"/>
      <c r="H12" s="3" t="inlineStr">
        <is>
          <t>Conexão elétrica</t>
        </is>
      </c>
      <c r="I12" s="205" t="n"/>
      <c r="J12" s="205" t="n"/>
      <c r="K12" s="205" t="n"/>
      <c r="L12" s="205" t="n"/>
      <c r="M12" s="206" t="n"/>
      <c r="N12" s="224" t="n"/>
      <c r="O12" s="184" t="n"/>
      <c r="P12" s="184" t="n"/>
      <c r="Q12" s="184" t="n"/>
      <c r="R12" s="184" t="n"/>
      <c r="S12" s="185" t="n"/>
    </row>
    <row r="13">
      <c r="A13" s="3" t="inlineStr">
        <is>
          <t>Conexões e faceamento</t>
        </is>
      </c>
      <c r="B13" s="148" t="n"/>
      <c r="C13" s="205" t="n"/>
      <c r="D13" s="205" t="n"/>
      <c r="E13" s="205" t="n"/>
      <c r="F13" s="205" t="n"/>
      <c r="G13" s="205" t="n"/>
      <c r="H13" s="3" t="inlineStr">
        <is>
          <t>Conexão pneumática</t>
        </is>
      </c>
      <c r="I13" s="205" t="n"/>
      <c r="J13" s="205" t="n"/>
      <c r="K13" s="205" t="n"/>
      <c r="L13" s="205" t="n"/>
      <c r="M13" s="206" t="n"/>
      <c r="N13" s="224" t="n"/>
      <c r="O13" s="184" t="n"/>
      <c r="P13" s="184" t="n"/>
      <c r="Q13" s="184" t="n"/>
      <c r="R13" s="184" t="n"/>
      <c r="S13" s="185" t="n"/>
    </row>
    <row r="14">
      <c r="A14" s="3" t="inlineStr">
        <is>
          <t>Castelo</t>
        </is>
      </c>
      <c r="B14" s="148" t="n"/>
      <c r="C14" s="205" t="n"/>
      <c r="D14" s="205" t="n"/>
      <c r="E14" s="205" t="n"/>
      <c r="F14" s="205" t="n"/>
      <c r="G14" s="205" t="n"/>
      <c r="H14" s="3" t="inlineStr">
        <is>
          <t>Classificação da área</t>
        </is>
      </c>
      <c r="I14" s="205" t="n"/>
      <c r="J14" s="205" t="n"/>
      <c r="K14" s="205" t="n"/>
      <c r="L14" s="205" t="n"/>
      <c r="M14" s="206" t="n"/>
      <c r="N14" s="224" t="n"/>
      <c r="O14" s="184" t="n"/>
      <c r="P14" s="184" t="n"/>
      <c r="Q14" s="184" t="n"/>
      <c r="R14" s="184" t="n"/>
      <c r="S14" s="185" t="n"/>
    </row>
    <row r="15" ht="13.8" customHeight="1" thickBot="1">
      <c r="A15" s="16" t="inlineStr">
        <is>
          <t>Classe de vedação</t>
        </is>
      </c>
      <c r="B15" s="150" t="n"/>
      <c r="C15" s="184" t="n"/>
      <c r="D15" s="184" t="n"/>
      <c r="E15" s="184" t="n"/>
      <c r="F15" s="184" t="n"/>
      <c r="G15" s="184" t="n"/>
      <c r="H15" s="6" t="inlineStr">
        <is>
          <t>Classificação do invólucro</t>
        </is>
      </c>
      <c r="I15" s="208" t="n"/>
      <c r="J15" s="208" t="n"/>
      <c r="K15" s="208" t="n"/>
      <c r="L15" s="208" t="n"/>
      <c r="M15" s="209" t="n"/>
      <c r="N15" s="225" t="n"/>
      <c r="O15" s="208" t="n"/>
      <c r="P15" s="208" t="n"/>
      <c r="Q15" s="208" t="n"/>
      <c r="R15" s="208" t="n"/>
      <c r="S15" s="226" t="n"/>
    </row>
    <row r="16" ht="13.8" customHeight="1" thickBot="1">
      <c r="A16" s="220" t="inlineStr">
        <is>
          <t>INTERNOS</t>
        </is>
      </c>
      <c r="B16" s="221" t="n"/>
      <c r="C16" s="221" t="n"/>
      <c r="D16" s="221" t="n"/>
      <c r="E16" s="221" t="n"/>
      <c r="F16" s="221" t="n"/>
      <c r="G16" s="222" t="n"/>
      <c r="H16" s="220" t="inlineStr">
        <is>
          <t>FINS DE CURSO</t>
        </is>
      </c>
      <c r="I16" s="221" t="n"/>
      <c r="J16" s="221" t="n"/>
      <c r="K16" s="221" t="n"/>
      <c r="L16" s="221" t="n"/>
      <c r="M16" s="221" t="n"/>
      <c r="N16" s="221" t="n"/>
      <c r="O16" s="221" t="n"/>
      <c r="P16" s="221" t="n"/>
      <c r="Q16" s="221" t="n"/>
      <c r="R16" s="221" t="n"/>
      <c r="S16" s="222" t="n"/>
      <c r="X16" s="69" t="n"/>
      <c r="Y16" s="69" t="n"/>
      <c r="Z16" s="69" t="n"/>
    </row>
    <row r="17">
      <c r="A17" s="18" t="inlineStr">
        <is>
          <t>Material das gaxetas</t>
        </is>
      </c>
      <c r="B17" s="227" t="n"/>
      <c r="C17" s="212" t="n"/>
      <c r="D17" s="212" t="n"/>
      <c r="E17" s="212" t="n"/>
      <c r="F17" s="212" t="n"/>
      <c r="G17" s="214" t="n"/>
      <c r="H17" s="146" t="inlineStr">
        <is>
          <t>TAG</t>
        </is>
      </c>
      <c r="I17" s="181" t="n"/>
      <c r="J17" s="181" t="n"/>
      <c r="K17" s="181" t="n"/>
      <c r="L17" s="181" t="n"/>
      <c r="M17" s="202" t="n"/>
      <c r="N17" s="228" t="n"/>
      <c r="S17" s="192" t="n"/>
      <c r="X17" s="69" t="n"/>
      <c r="Z17" s="69" t="n"/>
    </row>
    <row r="18">
      <c r="A18" s="3" t="inlineStr">
        <is>
          <t>Sede</t>
        </is>
      </c>
      <c r="B18" s="229" t="n"/>
      <c r="C18" s="205" t="n"/>
      <c r="D18" s="205" t="n"/>
      <c r="E18" s="205" t="n"/>
      <c r="F18" s="205" t="n"/>
      <c r="G18" s="216" t="n"/>
      <c r="H18" s="130" t="inlineStr">
        <is>
          <t>Tipo</t>
        </is>
      </c>
      <c r="I18" s="205" t="n"/>
      <c r="J18" s="205" t="n"/>
      <c r="K18" s="205" t="n"/>
      <c r="L18" s="205" t="n"/>
      <c r="M18" s="206" t="n"/>
      <c r="N18" s="224" t="n"/>
      <c r="O18" s="184" t="n"/>
      <c r="P18" s="184" t="n"/>
      <c r="Q18" s="184" t="n"/>
      <c r="R18" s="184" t="n"/>
      <c r="S18" s="185" t="n"/>
      <c r="X18" s="69" t="n"/>
      <c r="Z18" s="69" t="n"/>
    </row>
    <row r="19">
      <c r="A19" s="5" t="inlineStr">
        <is>
          <t>Material do disco</t>
        </is>
      </c>
      <c r="B19" s="229" t="n"/>
      <c r="C19" s="205" t="n"/>
      <c r="D19" s="205" t="n"/>
      <c r="E19" s="205" t="n"/>
      <c r="F19" s="205" t="n"/>
      <c r="G19" s="216" t="n"/>
      <c r="H19" s="130" t="inlineStr">
        <is>
          <t>Quantidade</t>
        </is>
      </c>
      <c r="I19" s="205" t="n"/>
      <c r="J19" s="205" t="n"/>
      <c r="K19" s="205" t="n"/>
      <c r="L19" s="205" t="n"/>
      <c r="M19" s="206" t="n"/>
      <c r="N19" s="224" t="n"/>
      <c r="O19" s="184" t="n"/>
      <c r="P19" s="184" t="n"/>
      <c r="Q19" s="184" t="n"/>
      <c r="R19" s="184" t="n"/>
      <c r="S19" s="185" t="n"/>
      <c r="X19" s="69" t="n"/>
      <c r="Z19" s="69" t="n"/>
    </row>
    <row r="20">
      <c r="A20" s="5" t="inlineStr">
        <is>
          <t>Material da haste</t>
        </is>
      </c>
      <c r="B20" s="229" t="n"/>
      <c r="C20" s="205" t="n"/>
      <c r="D20" s="205" t="n"/>
      <c r="E20" s="205" t="n"/>
      <c r="F20" s="205" t="n"/>
      <c r="G20" s="216" t="n"/>
      <c r="H20" s="130" t="inlineStr">
        <is>
          <t>Tipo dos contatos</t>
        </is>
      </c>
      <c r="I20" s="205" t="n"/>
      <c r="J20" s="205" t="n"/>
      <c r="K20" s="205" t="n"/>
      <c r="L20" s="205" t="n"/>
      <c r="M20" s="206" t="n"/>
      <c r="N20" s="224" t="n"/>
      <c r="O20" s="184" t="n"/>
      <c r="P20" s="184" t="n"/>
      <c r="Q20" s="184" t="n"/>
      <c r="R20" s="184" t="n"/>
      <c r="S20" s="185" t="n"/>
      <c r="X20" s="69" t="n"/>
      <c r="Z20" s="69" t="n"/>
    </row>
    <row r="21">
      <c r="A21" s="3" t="inlineStr">
        <is>
          <t>Obturador balanceado</t>
        </is>
      </c>
      <c r="B21" s="229" t="n"/>
      <c r="C21" s="205" t="n"/>
      <c r="D21" s="205" t="n"/>
      <c r="E21" s="205" t="n"/>
      <c r="F21" s="205" t="n"/>
      <c r="G21" s="216" t="n"/>
      <c r="H21" s="130" t="inlineStr">
        <is>
          <t>Conexão elétrica</t>
        </is>
      </c>
      <c r="I21" s="205" t="n"/>
      <c r="J21" s="205" t="n"/>
      <c r="K21" s="205" t="n"/>
      <c r="L21" s="205" t="n"/>
      <c r="M21" s="206" t="n"/>
      <c r="N21" s="224" t="n"/>
      <c r="O21" s="184" t="n"/>
      <c r="P21" s="184" t="n"/>
      <c r="Q21" s="184" t="n"/>
      <c r="R21" s="184" t="n"/>
      <c r="S21" s="185" t="n"/>
      <c r="X21" s="69" t="n"/>
      <c r="Z21" s="69" t="n"/>
    </row>
    <row r="22">
      <c r="A22" s="3" t="inlineStr">
        <is>
          <t>Direção do fluxo</t>
        </is>
      </c>
      <c r="B22" s="229" t="n"/>
      <c r="C22" s="205" t="n"/>
      <c r="D22" s="205" t="n"/>
      <c r="E22" s="205" t="n"/>
      <c r="F22" s="205" t="n"/>
      <c r="G22" s="216" t="n"/>
      <c r="H22" s="130" t="inlineStr">
        <is>
          <t>Classificação de área</t>
        </is>
      </c>
      <c r="I22" s="205" t="n"/>
      <c r="J22" s="205" t="n"/>
      <c r="K22" s="205" t="n"/>
      <c r="L22" s="205" t="n"/>
      <c r="M22" s="206" t="n"/>
      <c r="N22" s="224" t="n"/>
      <c r="O22" s="184" t="n"/>
      <c r="P22" s="184" t="n"/>
      <c r="Q22" s="184" t="n"/>
      <c r="R22" s="184" t="n"/>
      <c r="S22" s="185" t="n"/>
      <c r="X22" s="69" t="n"/>
      <c r="Z22" s="69" t="n"/>
    </row>
    <row r="23" ht="13.8" customHeight="1" thickBot="1">
      <c r="A23" s="6" t="inlineStr">
        <is>
          <t>Guias</t>
        </is>
      </c>
      <c r="B23" s="230" t="n"/>
      <c r="C23" s="208" t="n"/>
      <c r="D23" s="208" t="n"/>
      <c r="E23" s="208" t="n"/>
      <c r="F23" s="208" t="n"/>
      <c r="G23" s="226" t="n"/>
      <c r="H23" s="147" t="inlineStr">
        <is>
          <t>Classificação do invólucro</t>
        </is>
      </c>
      <c r="I23" s="184" t="n"/>
      <c r="J23" s="184" t="n"/>
      <c r="K23" s="184" t="n"/>
      <c r="L23" s="184" t="n"/>
      <c r="M23" s="231" t="n"/>
      <c r="N23" s="224" t="n"/>
      <c r="O23" s="184" t="n"/>
      <c r="P23" s="184" t="n"/>
      <c r="Q23" s="184" t="n"/>
      <c r="R23" s="184" t="n"/>
      <c r="S23" s="185" t="n"/>
      <c r="X23" s="69" t="n"/>
      <c r="Z23" s="69" t="n"/>
    </row>
    <row r="24" ht="13.8" customHeight="1" thickBot="1">
      <c r="A24" s="220" t="inlineStr">
        <is>
          <t>ATUADOR</t>
        </is>
      </c>
      <c r="B24" s="221" t="n"/>
      <c r="C24" s="221" t="n"/>
      <c r="D24" s="221" t="n"/>
      <c r="E24" s="221" t="n"/>
      <c r="F24" s="221" t="n"/>
      <c r="G24" s="222" t="n"/>
      <c r="H24" s="220" t="inlineStr">
        <is>
          <t>DADOS DE PROCESSO</t>
        </is>
      </c>
      <c r="I24" s="221" t="n"/>
      <c r="J24" s="221" t="n"/>
      <c r="K24" s="221" t="n"/>
      <c r="L24" s="221" t="n"/>
      <c r="M24" s="221" t="n"/>
      <c r="N24" s="221" t="n"/>
      <c r="O24" s="221" t="n"/>
      <c r="P24" s="221" t="n"/>
      <c r="Q24" s="221" t="n"/>
      <c r="R24" s="221" t="n"/>
      <c r="S24" s="222" t="n"/>
    </row>
    <row r="25">
      <c r="A25" s="17" t="inlineStr">
        <is>
          <t>Tipo</t>
        </is>
      </c>
      <c r="B25" s="152" t="n"/>
      <c r="C25" s="181" t="n"/>
      <c r="D25" s="181" t="n"/>
      <c r="E25" s="181" t="n"/>
      <c r="F25" s="181" t="n"/>
      <c r="G25" s="181" t="n"/>
      <c r="H25" s="18" t="inlineStr">
        <is>
          <t>Fluido</t>
        </is>
      </c>
      <c r="I25" s="212" t="n"/>
      <c r="J25" s="212" t="n"/>
      <c r="K25" s="212" t="n"/>
      <c r="L25" s="212" t="n"/>
      <c r="M25" s="213" t="n"/>
      <c r="N25" s="232" t="inlineStr">
        <is>
          <t>ÁGUA DE PROCESSO</t>
        </is>
      </c>
      <c r="O25" s="173" t="n"/>
      <c r="P25" s="173" t="n"/>
      <c r="Q25" s="173" t="n"/>
      <c r="R25" s="173" t="n"/>
      <c r="S25" s="177" t="n"/>
    </row>
    <row r="26">
      <c r="A26" s="3" t="inlineStr">
        <is>
          <t>Range</t>
        </is>
      </c>
      <c r="B26" s="148" t="n"/>
      <c r="C26" s="205" t="n"/>
      <c r="D26" s="205" t="n"/>
      <c r="E26" s="205" t="n"/>
      <c r="F26" s="205" t="n"/>
      <c r="G26" s="205" t="n"/>
      <c r="H26" s="3" t="inlineStr">
        <is>
          <t>Estado físico</t>
        </is>
      </c>
      <c r="I26" s="205" t="n"/>
      <c r="J26" s="205" t="n"/>
      <c r="K26" s="205" t="n"/>
      <c r="L26" s="205" t="n"/>
      <c r="M26" s="206" t="n"/>
      <c r="N26" s="233" t="n"/>
      <c r="O26" s="184" t="n"/>
      <c r="P26" s="184" t="n"/>
      <c r="Q26" s="184" t="n"/>
      <c r="R26" s="184" t="n"/>
      <c r="S26" s="185" t="n"/>
    </row>
    <row r="27">
      <c r="A27" s="3" t="inlineStr">
        <is>
          <t>Volante</t>
        </is>
      </c>
      <c r="B27" s="148" t="n"/>
      <c r="C27" s="205" t="n"/>
      <c r="D27" s="205" t="n"/>
      <c r="E27" s="205" t="n"/>
      <c r="F27" s="205" t="n"/>
      <c r="G27" s="205" t="n"/>
      <c r="H27" s="3" t="inlineStr">
        <is>
          <t>Pressão de entrada</t>
        </is>
      </c>
      <c r="I27" s="205" t="n"/>
      <c r="J27" s="205" t="n"/>
      <c r="K27" s="205" t="n"/>
      <c r="L27" s="205" t="n"/>
      <c r="M27" s="206" t="n"/>
      <c r="N27" s="233" t="inlineStr">
        <is>
          <t>2</t>
        </is>
      </c>
      <c r="O27" s="184" t="n"/>
      <c r="P27" s="184" t="n"/>
      <c r="Q27" s="184" t="n"/>
      <c r="R27" s="184" t="n"/>
      <c r="S27" s="185" t="n"/>
    </row>
    <row r="28">
      <c r="A28" s="3" t="inlineStr">
        <is>
          <t>Ação em caso de falha</t>
        </is>
      </c>
      <c r="B28" s="148" t="n"/>
      <c r="C28" s="205" t="n"/>
      <c r="D28" s="205" t="n"/>
      <c r="E28" s="205" t="n"/>
      <c r="F28" s="205" t="n"/>
      <c r="G28" s="205" t="n"/>
      <c r="H28" s="3" t="inlineStr">
        <is>
          <t>Pressão de saída</t>
        </is>
      </c>
      <c r="I28" s="205" t="n"/>
      <c r="J28" s="205" t="n"/>
      <c r="K28" s="205" t="n"/>
      <c r="L28" s="205" t="n"/>
      <c r="M28" s="206" t="n"/>
      <c r="N28" s="233" t="n"/>
      <c r="O28" s="184" t="n"/>
      <c r="P28" s="184" t="n"/>
      <c r="Q28" s="184" t="n"/>
      <c r="R28" s="184" t="n"/>
      <c r="S28" s="185" t="n"/>
    </row>
    <row r="29" ht="13.8" customHeight="1" thickBot="1">
      <c r="A29" s="16" t="inlineStr">
        <is>
          <t>Pressão suprimento de ar (min/max)</t>
        </is>
      </c>
      <c r="B29" s="150" t="n"/>
      <c r="C29" s="184" t="n"/>
      <c r="D29" s="184" t="n"/>
      <c r="E29" s="184" t="n"/>
      <c r="F29" s="184" t="n"/>
      <c r="G29" s="184" t="n"/>
      <c r="H29" s="3" t="inlineStr">
        <is>
          <t>Viscosidade</t>
        </is>
      </c>
      <c r="I29" s="205" t="n"/>
      <c r="J29" s="205" t="n"/>
      <c r="K29" s="205" t="n"/>
      <c r="L29" s="205" t="n"/>
      <c r="M29" s="206" t="n"/>
      <c r="N29" s="233" t="inlineStr">
        <is>
          <t>1 cP</t>
        </is>
      </c>
      <c r="O29" s="184" t="n"/>
      <c r="P29" s="184" t="n"/>
      <c r="Q29" s="184" t="n"/>
      <c r="R29" s="184" t="n"/>
      <c r="S29" s="185" t="n"/>
    </row>
    <row r="30" ht="13.8" customHeight="1" thickBot="1">
      <c r="A30" s="142" t="inlineStr">
        <is>
          <t>POSICIONADOR</t>
        </is>
      </c>
      <c r="B30" s="221" t="n"/>
      <c r="C30" s="221" t="n"/>
      <c r="D30" s="221" t="n"/>
      <c r="E30" s="221" t="n"/>
      <c r="F30" s="221" t="n"/>
      <c r="G30" s="221" t="n"/>
      <c r="H30" s="3" t="inlineStr">
        <is>
          <t>Vazão normal</t>
        </is>
      </c>
      <c r="I30" s="205" t="n"/>
      <c r="J30" s="205" t="n"/>
      <c r="K30" s="205" t="n"/>
      <c r="L30" s="205" t="n"/>
      <c r="M30" s="206" t="n"/>
      <c r="N30" s="233" t="n"/>
      <c r="O30" s="184" t="n"/>
      <c r="P30" s="184" t="n"/>
      <c r="Q30" s="184" t="n"/>
      <c r="R30" s="184" t="n"/>
      <c r="S30" s="185" t="n"/>
    </row>
    <row r="31">
      <c r="A31" s="17" t="inlineStr">
        <is>
          <t>Tipo</t>
        </is>
      </c>
      <c r="B31" s="152" t="n"/>
      <c r="C31" s="181" t="n"/>
      <c r="D31" s="181" t="n"/>
      <c r="E31" s="181" t="n"/>
      <c r="F31" s="181" t="n"/>
      <c r="G31" s="181" t="n"/>
      <c r="H31" s="3" t="inlineStr">
        <is>
          <t>Vazão máxima</t>
        </is>
      </c>
      <c r="I31" s="205" t="n"/>
      <c r="J31" s="205" t="n"/>
      <c r="K31" s="205" t="n"/>
      <c r="L31" s="205" t="n"/>
      <c r="M31" s="206" t="n"/>
      <c r="N31" s="233" t="inlineStr">
        <is>
          <t>6.0</t>
        </is>
      </c>
      <c r="O31" s="184" t="n"/>
      <c r="P31" s="184" t="n"/>
      <c r="Q31" s="184" t="n"/>
      <c r="R31" s="184" t="n"/>
      <c r="S31" s="185" t="n"/>
    </row>
    <row r="32">
      <c r="A32" s="3" t="inlineStr">
        <is>
          <t>By-pass</t>
        </is>
      </c>
      <c r="B32" s="148" t="n"/>
      <c r="C32" s="205" t="n"/>
      <c r="D32" s="205" t="n"/>
      <c r="E32" s="205" t="n"/>
      <c r="F32" s="205" t="n"/>
      <c r="G32" s="205" t="n"/>
      <c r="H32" s="3" t="inlineStr">
        <is>
          <t>Vazão mínima</t>
        </is>
      </c>
      <c r="I32" s="205" t="n"/>
      <c r="J32" s="205" t="n"/>
      <c r="K32" s="205" t="n"/>
      <c r="L32" s="205" t="n"/>
      <c r="M32" s="206" t="n"/>
      <c r="N32" s="233" t="inlineStr">
        <is>
          <t>1.0</t>
        </is>
      </c>
      <c r="O32" s="184" t="n"/>
      <c r="P32" s="184" t="n"/>
      <c r="Q32" s="184" t="n"/>
      <c r="R32" s="184" t="n"/>
      <c r="S32" s="185" t="n"/>
    </row>
    <row r="33">
      <c r="A33" s="3" t="inlineStr">
        <is>
          <t>Manômetros quantidade</t>
        </is>
      </c>
      <c r="B33" s="148" t="n"/>
      <c r="C33" s="205" t="n"/>
      <c r="D33" s="205" t="n"/>
      <c r="E33" s="205" t="n"/>
      <c r="F33" s="205" t="n"/>
      <c r="G33" s="205" t="n"/>
      <c r="H33" s="3" t="inlineStr">
        <is>
          <t>Pressão shut off</t>
        </is>
      </c>
      <c r="I33" s="205" t="n"/>
      <c r="J33" s="205" t="n"/>
      <c r="K33" s="205" t="n"/>
      <c r="L33" s="205" t="n"/>
      <c r="M33" s="206" t="n"/>
      <c r="N33" s="233" t="n"/>
      <c r="O33" s="184" t="n"/>
      <c r="P33" s="184" t="n"/>
      <c r="Q33" s="184" t="n"/>
      <c r="R33" s="184" t="n"/>
      <c r="S33" s="185" t="n"/>
    </row>
    <row r="34">
      <c r="A34" s="3" t="inlineStr">
        <is>
          <t>Sinal de entrada</t>
        </is>
      </c>
      <c r="B34" s="148" t="n"/>
      <c r="C34" s="205" t="n"/>
      <c r="D34" s="205" t="n"/>
      <c r="E34" s="205" t="n"/>
      <c r="F34" s="205" t="n"/>
      <c r="G34" s="205" t="n"/>
      <c r="H34" s="3" t="inlineStr">
        <is>
          <t>Temperatura máxima</t>
        </is>
      </c>
      <c r="I34" s="205" t="n"/>
      <c r="J34" s="205" t="n"/>
      <c r="K34" s="205" t="n"/>
      <c r="L34" s="205" t="n"/>
      <c r="M34" s="206" t="n"/>
      <c r="N34" s="233" t="inlineStr">
        <is>
          <t>35</t>
        </is>
      </c>
      <c r="O34" s="184" t="n"/>
      <c r="P34" s="184" t="n"/>
      <c r="Q34" s="184" t="n"/>
      <c r="R34" s="184" t="n"/>
      <c r="S34" s="185" t="n"/>
    </row>
    <row r="35">
      <c r="A35" s="3" t="inlineStr">
        <is>
          <t>Sial de saída</t>
        </is>
      </c>
      <c r="B35" s="148" t="n"/>
      <c r="C35" s="205" t="n"/>
      <c r="D35" s="205" t="n"/>
      <c r="E35" s="205" t="n"/>
      <c r="F35" s="205" t="n"/>
      <c r="G35" s="205" t="n"/>
      <c r="H35" s="3" t="inlineStr">
        <is>
          <t>Temperatura normal</t>
        </is>
      </c>
      <c r="I35" s="205" t="n"/>
      <c r="J35" s="205" t="n"/>
      <c r="K35" s="205" t="n"/>
      <c r="L35" s="205" t="n"/>
      <c r="M35" s="206" t="n"/>
      <c r="N35" s="233" t="n"/>
      <c r="O35" s="184" t="n"/>
      <c r="P35" s="184" t="n"/>
      <c r="Q35" s="184" t="n"/>
      <c r="R35" s="184" t="n"/>
      <c r="S35" s="185" t="n"/>
    </row>
    <row r="36">
      <c r="A36" s="3" t="inlineStr">
        <is>
          <t>Característica do came</t>
        </is>
      </c>
      <c r="B36" s="148" t="n"/>
      <c r="C36" s="205" t="n"/>
      <c r="D36" s="205" t="n"/>
      <c r="E36" s="205" t="n"/>
      <c r="F36" s="205" t="n"/>
      <c r="G36" s="205" t="n"/>
      <c r="H36" s="3" t="inlineStr">
        <is>
          <t>Massa específica</t>
        </is>
      </c>
      <c r="I36" s="205" t="n"/>
      <c r="J36" s="205" t="n"/>
      <c r="K36" s="205" t="n"/>
      <c r="L36" s="205" t="n"/>
      <c r="M36" s="206" t="n"/>
      <c r="N36" s="233" t="inlineStr">
        <is>
          <t>998 kg/m3</t>
        </is>
      </c>
      <c r="O36" s="184" t="n"/>
      <c r="P36" s="184" t="n"/>
      <c r="Q36" s="184" t="n"/>
      <c r="R36" s="184" t="n"/>
      <c r="S36" s="185" t="n"/>
    </row>
    <row r="37" ht="13.8" customHeight="1" thickBot="1">
      <c r="A37" s="16" t="inlineStr">
        <is>
          <t>Alimentação de ar</t>
        </is>
      </c>
      <c r="B37" s="150" t="n"/>
      <c r="C37" s="184" t="n"/>
      <c r="D37" s="184" t="n"/>
      <c r="E37" s="184" t="n"/>
      <c r="F37" s="184" t="n"/>
      <c r="G37" s="184" t="n"/>
      <c r="H37" s="3" t="inlineStr">
        <is>
          <t>Cv calculado (máximo) / % abertura</t>
        </is>
      </c>
      <c r="I37" s="205" t="n"/>
      <c r="J37" s="205" t="n"/>
      <c r="K37" s="205" t="n"/>
      <c r="L37" s="205" t="n"/>
      <c r="M37" s="206" t="n"/>
      <c r="N37" s="224" t="n"/>
      <c r="O37" s="184" t="n"/>
      <c r="P37" s="184" t="n"/>
      <c r="Q37" s="184" t="n"/>
      <c r="R37" s="184" t="n"/>
      <c r="S37" s="185" t="n"/>
    </row>
    <row r="38" ht="13.8" customHeight="1" thickBot="1">
      <c r="A38" s="142" t="inlineStr">
        <is>
          <t>ACESSÓRIOS</t>
        </is>
      </c>
      <c r="B38" s="221" t="n"/>
      <c r="C38" s="221" t="n"/>
      <c r="D38" s="221" t="n"/>
      <c r="E38" s="221" t="n"/>
      <c r="F38" s="221" t="n"/>
      <c r="G38" s="221" t="n"/>
      <c r="H38" s="3" t="inlineStr">
        <is>
          <t>Cv calculado (normal) / % abertura</t>
        </is>
      </c>
      <c r="I38" s="205" t="n"/>
      <c r="J38" s="205" t="n"/>
      <c r="K38" s="205" t="n"/>
      <c r="L38" s="205" t="n"/>
      <c r="M38" s="206" t="n"/>
      <c r="N38" s="224" t="n"/>
      <c r="O38" s="184" t="n"/>
      <c r="P38" s="184" t="n"/>
      <c r="Q38" s="184" t="n"/>
      <c r="R38" s="184" t="n"/>
      <c r="S38" s="185" t="n"/>
    </row>
    <row r="39">
      <c r="A39" s="17" t="inlineStr">
        <is>
          <t>Filtro / Filtro regulador</t>
        </is>
      </c>
      <c r="B39" s="152" t="n"/>
      <c r="C39" s="181" t="n"/>
      <c r="D39" s="181" t="n"/>
      <c r="E39" s="181" t="n"/>
      <c r="F39" s="181" t="n"/>
      <c r="G39" s="181" t="n"/>
      <c r="H39" s="3" t="inlineStr">
        <is>
          <t>Cv calculado (mínimo) / % abertura</t>
        </is>
      </c>
      <c r="I39" s="205" t="n"/>
      <c r="J39" s="205" t="n"/>
      <c r="K39" s="205" t="n"/>
      <c r="L39" s="205" t="n"/>
      <c r="M39" s="206" t="n"/>
      <c r="N39" s="224" t="n"/>
      <c r="O39" s="184" t="n"/>
      <c r="P39" s="184" t="n"/>
      <c r="Q39" s="184" t="n"/>
      <c r="R39" s="184" t="n"/>
      <c r="S39" s="185" t="n"/>
    </row>
    <row r="40">
      <c r="A40" s="3" t="inlineStr">
        <is>
          <t>Manômetro para o regulador</t>
        </is>
      </c>
      <c r="B40" s="148" t="n"/>
      <c r="C40" s="205" t="n"/>
      <c r="D40" s="205" t="n"/>
      <c r="E40" s="205" t="n"/>
      <c r="F40" s="205" t="n"/>
      <c r="G40" s="205" t="n"/>
      <c r="H40" s="3" t="inlineStr">
        <is>
          <t>Cv selecionado</t>
        </is>
      </c>
      <c r="I40" s="205" t="n"/>
      <c r="J40" s="205" t="n"/>
      <c r="K40" s="205" t="n"/>
      <c r="L40" s="205" t="n"/>
      <c r="M40" s="206" t="n"/>
      <c r="N40" s="224" t="n"/>
      <c r="O40" s="184" t="n"/>
      <c r="P40" s="184" t="n"/>
      <c r="Q40" s="184" t="n"/>
      <c r="R40" s="184" t="n"/>
      <c r="S40" s="185" t="n"/>
    </row>
    <row r="41" ht="13.8" customHeight="1" thickBot="1">
      <c r="A41" s="6" t="inlineStr">
        <is>
          <t>Posição do volante</t>
        </is>
      </c>
      <c r="B41" s="154" t="n"/>
      <c r="C41" s="208" t="n"/>
      <c r="D41" s="208" t="n"/>
      <c r="E41" s="208" t="n"/>
      <c r="F41" s="208" t="n"/>
      <c r="G41" s="208" t="n"/>
      <c r="H41" s="6" t="inlineStr">
        <is>
          <t>Nível de ruído</t>
        </is>
      </c>
      <c r="I41" s="208" t="n"/>
      <c r="J41" s="208" t="n"/>
      <c r="K41" s="208" t="n"/>
      <c r="L41" s="208" t="n"/>
      <c r="M41" s="209" t="n"/>
      <c r="N41" s="225" t="n"/>
      <c r="O41" s="208" t="n"/>
      <c r="P41" s="208" t="n"/>
      <c r="Q41" s="208" t="n"/>
      <c r="R41" s="208" t="n"/>
      <c r="S41" s="226" t="n"/>
    </row>
    <row r="42">
      <c r="A42" s="234" t="inlineStr">
        <is>
          <t>Notas:</t>
        </is>
      </c>
      <c r="B42" s="173" t="n"/>
      <c r="C42" s="173" t="n"/>
      <c r="D42" s="173" t="n"/>
      <c r="E42" s="173" t="n"/>
      <c r="F42" s="173" t="n"/>
      <c r="G42" s="173" t="n"/>
      <c r="H42" s="173" t="n"/>
      <c r="I42" s="173" t="n"/>
      <c r="J42" s="173" t="n"/>
      <c r="K42" s="173" t="n"/>
      <c r="L42" s="173" t="n"/>
      <c r="M42" s="173" t="n"/>
      <c r="N42" s="173" t="n"/>
      <c r="O42" s="173" t="n"/>
      <c r="P42" s="173" t="n"/>
      <c r="Q42" s="173" t="n"/>
      <c r="R42" s="173" t="n"/>
      <c r="S42" s="177" t="n"/>
    </row>
    <row r="43" ht="13.8" customHeight="1" thickBot="1">
      <c r="A43" s="235" t="inlineStr">
        <is>
          <t>(NOTA 1): CRESTIVO (A16003E); BIRK 25% (A25191A); BIRTEA; CRESTIVO DUO</t>
        </is>
      </c>
      <c r="B43" s="197" t="n"/>
      <c r="C43" s="197" t="n"/>
      <c r="D43" s="197" t="n"/>
      <c r="E43" s="197" t="n"/>
      <c r="F43" s="197" t="n"/>
      <c r="G43" s="197" t="n"/>
      <c r="H43" s="197" t="n"/>
      <c r="I43" s="197" t="n"/>
      <c r="J43" s="197" t="n"/>
      <c r="K43" s="197" t="n"/>
      <c r="L43" s="197" t="n"/>
      <c r="M43" s="197" t="n"/>
      <c r="N43" s="197" t="n"/>
      <c r="O43" s="197" t="n"/>
      <c r="P43" s="197" t="n"/>
      <c r="Q43" s="197" t="n"/>
      <c r="R43" s="197" t="n"/>
      <c r="S43" s="199" t="n"/>
    </row>
    <row r="44">
      <c r="A44" s="7" t="n"/>
    </row>
    <row r="45">
      <c r="A45" s="2" t="n"/>
    </row>
    <row r="46">
      <c r="A46" s="2" t="n"/>
    </row>
    <row r="47">
      <c r="A47" s="2" t="n"/>
    </row>
    <row r="48">
      <c r="A48" s="2" t="n"/>
    </row>
    <row r="49">
      <c r="A49" s="2" t="n"/>
    </row>
    <row r="50">
      <c r="A50" s="2" t="n"/>
    </row>
    <row r="51">
      <c r="A51" s="2" t="n"/>
    </row>
    <row r="52">
      <c r="A52" s="2" t="n"/>
    </row>
    <row r="53">
      <c r="A53" s="2" t="n"/>
    </row>
    <row r="54">
      <c r="A54" s="2" t="n"/>
    </row>
  </sheetData>
  <mergeCells count="116">
    <mergeCell ref="H21:M21"/>
    <mergeCell ref="N23:S23"/>
    <mergeCell ref="B8:G8"/>
    <mergeCell ref="N18:S18"/>
    <mergeCell ref="A1:A4"/>
    <mergeCell ref="N8:S8"/>
    <mergeCell ref="H7:M7"/>
    <mergeCell ref="B10:G10"/>
    <mergeCell ref="N10:S10"/>
    <mergeCell ref="A30:G30"/>
    <mergeCell ref="H27:M27"/>
    <mergeCell ref="N34:S34"/>
    <mergeCell ref="H33:M33"/>
    <mergeCell ref="B36:G36"/>
    <mergeCell ref="N27:S27"/>
    <mergeCell ref="H5:S5"/>
    <mergeCell ref="N36:S36"/>
    <mergeCell ref="H35:M35"/>
    <mergeCell ref="N11:S11"/>
    <mergeCell ref="N20:S20"/>
    <mergeCell ref="B22:G22"/>
    <mergeCell ref="B31:G31"/>
    <mergeCell ref="N22:S22"/>
    <mergeCell ref="H9:M9"/>
    <mergeCell ref="B12:G12"/>
    <mergeCell ref="H39:M39"/>
    <mergeCell ref="B21:G21"/>
    <mergeCell ref="B39:G39"/>
    <mergeCell ref="N12:S12"/>
    <mergeCell ref="N21:S21"/>
    <mergeCell ref="B14:G14"/>
    <mergeCell ref="B23:G23"/>
    <mergeCell ref="N14:S14"/>
    <mergeCell ref="B13:G13"/>
    <mergeCell ref="A43:S43"/>
    <mergeCell ref="N38:S38"/>
    <mergeCell ref="H16:S16"/>
    <mergeCell ref="H32:M32"/>
    <mergeCell ref="H13:M13"/>
    <mergeCell ref="N40:S40"/>
    <mergeCell ref="B33:G33"/>
    <mergeCell ref="H15:M15"/>
    <mergeCell ref="H18:M18"/>
    <mergeCell ref="B41:G41"/>
    <mergeCell ref="B35:G35"/>
    <mergeCell ref="C2:S2"/>
    <mergeCell ref="H8:M8"/>
    <mergeCell ref="N26:S26"/>
    <mergeCell ref="N35:S35"/>
    <mergeCell ref="H26:M26"/>
    <mergeCell ref="B25:G25"/>
    <mergeCell ref="N25:S25"/>
    <mergeCell ref="H10:M10"/>
    <mergeCell ref="H41:M41"/>
    <mergeCell ref="B27:G27"/>
    <mergeCell ref="H34:M34"/>
    <mergeCell ref="H25:M25"/>
    <mergeCell ref="B11:G11"/>
    <mergeCell ref="A5:G5"/>
    <mergeCell ref="A42:S42"/>
    <mergeCell ref="H36:M36"/>
    <mergeCell ref="A38:G38"/>
    <mergeCell ref="H17:M17"/>
    <mergeCell ref="N39:S39"/>
    <mergeCell ref="H11:M11"/>
    <mergeCell ref="B29:G29"/>
    <mergeCell ref="N29:S29"/>
    <mergeCell ref="H19:M19"/>
    <mergeCell ref="H28:M28"/>
    <mergeCell ref="H37:M37"/>
    <mergeCell ref="A24:G24"/>
    <mergeCell ref="N13:S13"/>
    <mergeCell ref="B40:G40"/>
    <mergeCell ref="H12:M12"/>
    <mergeCell ref="N31:S31"/>
    <mergeCell ref="B15:G15"/>
    <mergeCell ref="J1:S1"/>
    <mergeCell ref="N6:S6"/>
    <mergeCell ref="N15:S15"/>
    <mergeCell ref="H24:S24"/>
    <mergeCell ref="H14:M14"/>
    <mergeCell ref="B32:G32"/>
    <mergeCell ref="H23:M23"/>
    <mergeCell ref="A16:G16"/>
    <mergeCell ref="B26:G26"/>
    <mergeCell ref="Y16:Y23"/>
    <mergeCell ref="B7:G7"/>
    <mergeCell ref="H38:M38"/>
    <mergeCell ref="N32:S32"/>
    <mergeCell ref="N7:S7"/>
    <mergeCell ref="N41:S41"/>
    <mergeCell ref="H40:M40"/>
    <mergeCell ref="B18:G18"/>
    <mergeCell ref="N33:S33"/>
    <mergeCell ref="B17:G17"/>
    <mergeCell ref="N17:S17"/>
    <mergeCell ref="B19:G19"/>
    <mergeCell ref="B34:G34"/>
    <mergeCell ref="B28:G28"/>
    <mergeCell ref="B37:G37"/>
    <mergeCell ref="N19:S19"/>
    <mergeCell ref="H22:M22"/>
    <mergeCell ref="B9:G9"/>
    <mergeCell ref="N28:S28"/>
    <mergeCell ref="N9:S9"/>
    <mergeCell ref="B6:G6"/>
    <mergeCell ref="B20:G20"/>
    <mergeCell ref="N30:S30"/>
    <mergeCell ref="B3:S4"/>
    <mergeCell ref="H30:M30"/>
    <mergeCell ref="H20:M20"/>
    <mergeCell ref="H29:M29"/>
    <mergeCell ref="B1:H1"/>
    <mergeCell ref="N37:S37"/>
    <mergeCell ref="H31:M31"/>
    <mergeCell ref="H6:M6"/>
  </mergeCells>
  <pageMargins left="0.25" right="0.25" top="0.75" bottom="0.75" header="0.3" footer="0.3"/>
  <pageSetup orientation="portrait" paperSize="9" scale="82"/>
</worksheet>
</file>

<file path=xl/worksheets/sheet11.xml><?xml version="1.0" encoding="utf-8"?>
<worksheet xmlns="http://schemas.openxmlformats.org/spreadsheetml/2006/main">
  <sheetPr codeName="Planilha2">
    <outlinePr summaryBelow="1" summaryRight="1"/>
    <pageSetUpPr fitToPage="1"/>
  </sheetPr>
  <dimension ref="A1:Z54"/>
  <sheetViews>
    <sheetView workbookViewId="0">
      <selection activeCell="A1" sqref="A1"/>
    </sheetView>
  </sheetViews>
  <sheetFormatPr baseColWidth="8" defaultRowHeight="13.2"/>
  <cols>
    <col width="35.109375" bestFit="1" customWidth="1" style="137" min="1" max="1"/>
    <col width="4.88671875" customWidth="1" style="137" min="2" max="19"/>
  </cols>
  <sheetData>
    <row r="1" ht="14.25" customHeight="1">
      <c r="A1" s="210">
        <f>_xlfn.IMAGE("https://technikgrupo.sharepoint.com/sites/transfer/Logos/Technik.png")</f>
        <v/>
      </c>
      <c r="B1" s="211" t="inlineStr">
        <is>
          <t>FOLHA DE DADOS</t>
        </is>
      </c>
      <c r="C1" s="212" t="n"/>
      <c r="D1" s="212" t="n"/>
      <c r="E1" s="212" t="n"/>
      <c r="F1" s="212" t="n"/>
      <c r="G1" s="212" t="n"/>
      <c r="H1" s="213" t="n"/>
      <c r="I1" s="19" t="inlineStr">
        <is>
          <t>Nº.:</t>
        </is>
      </c>
      <c r="J1" s="166">
        <f>"FD-"&amp;Config!D2&amp;"-"&amp;Config!F2&amp;"-001"</f>
        <v/>
      </c>
      <c r="K1" s="212" t="n"/>
      <c r="L1" s="212" t="n"/>
      <c r="M1" s="212" t="n"/>
      <c r="N1" s="212" t="n"/>
      <c r="O1" s="212" t="n"/>
      <c r="P1" s="212" t="n"/>
      <c r="Q1" s="212" t="n"/>
      <c r="R1" s="212" t="n"/>
      <c r="S1" s="214" t="n"/>
    </row>
    <row r="2" ht="14.25" customHeight="1">
      <c r="A2" s="215" t="n"/>
      <c r="B2" s="20" t="inlineStr">
        <is>
          <t>ÁREA:</t>
        </is>
      </c>
      <c r="C2" s="164" t="inlineStr">
        <is>
          <t>PÁTIO D3</t>
        </is>
      </c>
      <c r="D2" s="205" t="n"/>
      <c r="E2" s="205" t="n"/>
      <c r="F2" s="205" t="n"/>
      <c r="G2" s="205" t="n"/>
      <c r="H2" s="205" t="n"/>
      <c r="I2" s="205" t="n"/>
      <c r="J2" s="205" t="n"/>
      <c r="K2" s="205" t="n"/>
      <c r="L2" s="205" t="n"/>
      <c r="M2" s="205" t="n"/>
      <c r="N2" s="205" t="n"/>
      <c r="O2" s="205" t="n"/>
      <c r="P2" s="205" t="n"/>
      <c r="Q2" s="205" t="n"/>
      <c r="R2" s="205" t="n"/>
      <c r="S2" s="216" t="n"/>
    </row>
    <row r="3" ht="14.25" customHeight="1">
      <c r="A3" s="215" t="n"/>
      <c r="B3" s="217" t="inlineStr">
        <is>
          <t>VÁLVULA ON OFF</t>
        </is>
      </c>
      <c r="C3" s="184" t="n"/>
      <c r="D3" s="184" t="n"/>
      <c r="E3" s="184" t="n"/>
      <c r="F3" s="184" t="n"/>
      <c r="G3" s="184" t="n"/>
      <c r="H3" s="184" t="n"/>
      <c r="I3" s="184" t="n"/>
      <c r="J3" s="184" t="n"/>
      <c r="K3" s="184" t="n"/>
      <c r="L3" s="184" t="n"/>
      <c r="M3" s="184" t="n"/>
      <c r="N3" s="184" t="n"/>
      <c r="O3" s="184" t="n"/>
      <c r="P3" s="184" t="n"/>
      <c r="Q3" s="184" t="n"/>
      <c r="R3" s="184" t="n"/>
      <c r="S3" s="185" t="n"/>
    </row>
    <row r="4" ht="14.25" customHeight="1" thickBot="1">
      <c r="A4" s="218" t="n"/>
      <c r="B4" s="219" t="n"/>
      <c r="C4" s="197" t="n"/>
      <c r="D4" s="197" t="n"/>
      <c r="E4" s="197" t="n"/>
      <c r="F4" s="197" t="n"/>
      <c r="G4" s="197" t="n"/>
      <c r="H4" s="197" t="n"/>
      <c r="I4" s="197" t="n"/>
      <c r="J4" s="197" t="n"/>
      <c r="K4" s="197" t="n"/>
      <c r="L4" s="197" t="n"/>
      <c r="M4" s="197" t="n"/>
      <c r="N4" s="197" t="n"/>
      <c r="O4" s="197" t="n"/>
      <c r="P4" s="197" t="n"/>
      <c r="Q4" s="197" t="n"/>
      <c r="R4" s="197" t="n"/>
      <c r="S4" s="199" t="n"/>
    </row>
    <row r="5" ht="13.8" customHeight="1" thickBot="1">
      <c r="A5" s="220" t="inlineStr">
        <is>
          <t>GERAL</t>
        </is>
      </c>
      <c r="B5" s="221" t="n"/>
      <c r="C5" s="221" t="n"/>
      <c r="D5" s="221" t="n"/>
      <c r="E5" s="221" t="n"/>
      <c r="F5" s="221" t="n"/>
      <c r="G5" s="222" t="n"/>
      <c r="H5" s="220" t="inlineStr">
        <is>
          <t>VÁLVULA SOLENÓIDE</t>
        </is>
      </c>
      <c r="I5" s="221" t="n"/>
      <c r="J5" s="221" t="n"/>
      <c r="K5" s="221" t="n"/>
      <c r="L5" s="221" t="n"/>
      <c r="M5" s="221" t="n"/>
      <c r="N5" s="221" t="n"/>
      <c r="O5" s="221" t="n"/>
      <c r="P5" s="221" t="n"/>
      <c r="Q5" s="221" t="n"/>
      <c r="R5" s="221" t="n"/>
      <c r="S5" s="222" t="n"/>
    </row>
    <row r="6">
      <c r="A6" s="17" t="inlineStr">
        <is>
          <t>TAG / Quantidade</t>
        </is>
      </c>
      <c r="B6" s="167" t="inlineStr">
        <is>
          <t>XV-1710.7</t>
        </is>
      </c>
      <c r="C6" s="181" t="n"/>
      <c r="D6" s="181" t="n"/>
      <c r="E6" s="181" t="n"/>
      <c r="F6" s="181" t="n"/>
      <c r="G6" s="181" t="n"/>
      <c r="H6" s="18" t="inlineStr">
        <is>
          <t>TAG</t>
        </is>
      </c>
      <c r="I6" s="212" t="n"/>
      <c r="J6" s="212" t="n"/>
      <c r="K6" s="212" t="n"/>
      <c r="L6" s="212" t="n"/>
      <c r="M6" s="213" t="n"/>
      <c r="N6" s="223" t="n"/>
      <c r="O6" s="173" t="n"/>
      <c r="P6" s="173" t="n"/>
      <c r="Q6" s="173" t="n"/>
      <c r="R6" s="173" t="n"/>
      <c r="S6" s="177" t="n"/>
    </row>
    <row r="7">
      <c r="A7" s="3" t="inlineStr">
        <is>
          <t>Função</t>
        </is>
      </c>
      <c r="B7" s="158" t="n"/>
      <c r="C7" s="205" t="n"/>
      <c r="D7" s="205" t="n"/>
      <c r="E7" s="205" t="n"/>
      <c r="F7" s="205" t="n"/>
      <c r="G7" s="205" t="n"/>
      <c r="H7" s="3" t="inlineStr">
        <is>
          <t>Tipo</t>
        </is>
      </c>
      <c r="I7" s="205" t="n"/>
      <c r="J7" s="205" t="n"/>
      <c r="K7" s="205" t="n"/>
      <c r="L7" s="205" t="n"/>
      <c r="M7" s="206" t="n"/>
      <c r="N7" s="224" t="n"/>
      <c r="O7" s="184" t="n"/>
      <c r="P7" s="184" t="n"/>
      <c r="Q7" s="184" t="n"/>
      <c r="R7" s="184" t="n"/>
      <c r="S7" s="185" t="n"/>
    </row>
    <row r="8">
      <c r="A8" s="4" t="inlineStr">
        <is>
          <t>Fluxograma</t>
        </is>
      </c>
      <c r="B8" s="158" t="inlineStr">
        <is>
          <t>PHS2-PR27-1701-FL.04 Rev. 00N</t>
        </is>
      </c>
      <c r="C8" s="205" t="n"/>
      <c r="D8" s="205" t="n"/>
      <c r="E8" s="205" t="n"/>
      <c r="F8" s="205" t="n"/>
      <c r="G8" s="205" t="n"/>
      <c r="H8" s="3" t="inlineStr">
        <is>
          <t>Número de vias/posições</t>
        </is>
      </c>
      <c r="I8" s="205" t="n"/>
      <c r="J8" s="205" t="n"/>
      <c r="K8" s="205" t="n"/>
      <c r="L8" s="205" t="n"/>
      <c r="M8" s="206" t="n"/>
      <c r="N8" s="224" t="n"/>
      <c r="O8" s="184" t="n"/>
      <c r="P8" s="184" t="n"/>
      <c r="Q8" s="184" t="n"/>
      <c r="R8" s="184" t="n"/>
      <c r="S8" s="185" t="n"/>
    </row>
    <row r="9">
      <c r="A9" s="3" t="inlineStr">
        <is>
          <t>Bitola da linha</t>
        </is>
      </c>
      <c r="B9" s="158" t="n"/>
      <c r="C9" s="205" t="n"/>
      <c r="D9" s="205" t="n"/>
      <c r="E9" s="205" t="n"/>
      <c r="F9" s="205" t="n"/>
      <c r="G9" s="205" t="n"/>
      <c r="H9" s="3" t="inlineStr">
        <is>
          <t>Material do corpo</t>
        </is>
      </c>
      <c r="I9" s="205" t="n"/>
      <c r="J9" s="205" t="n"/>
      <c r="K9" s="205" t="n"/>
      <c r="L9" s="205" t="n"/>
      <c r="M9" s="206" t="n"/>
      <c r="N9" s="224" t="n"/>
      <c r="O9" s="184" t="n"/>
      <c r="P9" s="184" t="n"/>
      <c r="Q9" s="184" t="n"/>
      <c r="R9" s="184" t="n"/>
      <c r="S9" s="185" t="n"/>
    </row>
    <row r="10">
      <c r="A10" s="3" t="inlineStr">
        <is>
          <t>Tipo do corpo</t>
        </is>
      </c>
      <c r="B10" s="158" t="inlineStr">
        <is>
          <t>ESFERA AUTOMÁTICA</t>
        </is>
      </c>
      <c r="C10" s="205" t="n"/>
      <c r="D10" s="205" t="n"/>
      <c r="E10" s="205" t="n"/>
      <c r="F10" s="205" t="n"/>
      <c r="G10" s="205" t="n"/>
      <c r="H10" s="3" t="inlineStr">
        <is>
          <t>Classe da bobina</t>
        </is>
      </c>
      <c r="I10" s="205" t="n"/>
      <c r="J10" s="205" t="n"/>
      <c r="K10" s="205" t="n"/>
      <c r="L10" s="205" t="n"/>
      <c r="M10" s="206" t="n"/>
      <c r="N10" s="224" t="n"/>
      <c r="O10" s="184" t="n"/>
      <c r="P10" s="184" t="n"/>
      <c r="Q10" s="184" t="n"/>
      <c r="R10" s="184" t="n"/>
      <c r="S10" s="185" t="n"/>
    </row>
    <row r="11">
      <c r="A11" s="3" t="inlineStr">
        <is>
          <t>Material do corpo</t>
        </is>
      </c>
      <c r="B11" s="158" t="n"/>
      <c r="C11" s="205" t="n"/>
      <c r="D11" s="205" t="n"/>
      <c r="E11" s="205" t="n"/>
      <c r="F11" s="205" t="n"/>
      <c r="G11" s="205" t="n"/>
      <c r="H11" s="3" t="inlineStr">
        <is>
          <t>Número de bobinas</t>
        </is>
      </c>
      <c r="I11" s="205" t="n"/>
      <c r="J11" s="205" t="n"/>
      <c r="K11" s="205" t="n"/>
      <c r="L11" s="205" t="n"/>
      <c r="M11" s="206" t="n"/>
      <c r="N11" s="224" t="n"/>
      <c r="O11" s="184" t="n"/>
      <c r="P11" s="184" t="n"/>
      <c r="Q11" s="184" t="n"/>
      <c r="R11" s="184" t="n"/>
      <c r="S11" s="185" t="n"/>
    </row>
    <row r="12">
      <c r="A12" s="3" t="inlineStr">
        <is>
          <t>Diâmetro da válvula</t>
        </is>
      </c>
      <c r="B12" s="158" t="inlineStr">
        <is>
          <t>-</t>
        </is>
      </c>
      <c r="C12" s="205" t="n"/>
      <c r="D12" s="205" t="n"/>
      <c r="E12" s="205" t="n"/>
      <c r="F12" s="205" t="n"/>
      <c r="G12" s="205" t="n"/>
      <c r="H12" s="3" t="inlineStr">
        <is>
          <t>Conexão elétrica</t>
        </is>
      </c>
      <c r="I12" s="205" t="n"/>
      <c r="J12" s="205" t="n"/>
      <c r="K12" s="205" t="n"/>
      <c r="L12" s="205" t="n"/>
      <c r="M12" s="206" t="n"/>
      <c r="N12" s="224" t="n"/>
      <c r="O12" s="184" t="n"/>
      <c r="P12" s="184" t="n"/>
      <c r="Q12" s="184" t="n"/>
      <c r="R12" s="184" t="n"/>
      <c r="S12" s="185" t="n"/>
    </row>
    <row r="13">
      <c r="A13" s="3" t="inlineStr">
        <is>
          <t>Conexões e faceamento</t>
        </is>
      </c>
      <c r="B13" s="148" t="n"/>
      <c r="C13" s="205" t="n"/>
      <c r="D13" s="205" t="n"/>
      <c r="E13" s="205" t="n"/>
      <c r="F13" s="205" t="n"/>
      <c r="G13" s="205" t="n"/>
      <c r="H13" s="3" t="inlineStr">
        <is>
          <t>Conexão pneumática</t>
        </is>
      </c>
      <c r="I13" s="205" t="n"/>
      <c r="J13" s="205" t="n"/>
      <c r="K13" s="205" t="n"/>
      <c r="L13" s="205" t="n"/>
      <c r="M13" s="206" t="n"/>
      <c r="N13" s="224" t="n"/>
      <c r="O13" s="184" t="n"/>
      <c r="P13" s="184" t="n"/>
      <c r="Q13" s="184" t="n"/>
      <c r="R13" s="184" t="n"/>
      <c r="S13" s="185" t="n"/>
    </row>
    <row r="14">
      <c r="A14" s="3" t="inlineStr">
        <is>
          <t>Castelo</t>
        </is>
      </c>
      <c r="B14" s="148" t="n"/>
      <c r="C14" s="205" t="n"/>
      <c r="D14" s="205" t="n"/>
      <c r="E14" s="205" t="n"/>
      <c r="F14" s="205" t="n"/>
      <c r="G14" s="205" t="n"/>
      <c r="H14" s="3" t="inlineStr">
        <is>
          <t>Classificação da área</t>
        </is>
      </c>
      <c r="I14" s="205" t="n"/>
      <c r="J14" s="205" t="n"/>
      <c r="K14" s="205" t="n"/>
      <c r="L14" s="205" t="n"/>
      <c r="M14" s="206" t="n"/>
      <c r="N14" s="224" t="n"/>
      <c r="O14" s="184" t="n"/>
      <c r="P14" s="184" t="n"/>
      <c r="Q14" s="184" t="n"/>
      <c r="R14" s="184" t="n"/>
      <c r="S14" s="185" t="n"/>
    </row>
    <row r="15" ht="13.8" customHeight="1" thickBot="1">
      <c r="A15" s="16" t="inlineStr">
        <is>
          <t>Classe de vedação</t>
        </is>
      </c>
      <c r="B15" s="150" t="n"/>
      <c r="C15" s="184" t="n"/>
      <c r="D15" s="184" t="n"/>
      <c r="E15" s="184" t="n"/>
      <c r="F15" s="184" t="n"/>
      <c r="G15" s="184" t="n"/>
      <c r="H15" s="6" t="inlineStr">
        <is>
          <t>Classificação do invólucro</t>
        </is>
      </c>
      <c r="I15" s="208" t="n"/>
      <c r="J15" s="208" t="n"/>
      <c r="K15" s="208" t="n"/>
      <c r="L15" s="208" t="n"/>
      <c r="M15" s="209" t="n"/>
      <c r="N15" s="225" t="n"/>
      <c r="O15" s="208" t="n"/>
      <c r="P15" s="208" t="n"/>
      <c r="Q15" s="208" t="n"/>
      <c r="R15" s="208" t="n"/>
      <c r="S15" s="226" t="n"/>
    </row>
    <row r="16" ht="13.8" customHeight="1" thickBot="1">
      <c r="A16" s="220" t="inlineStr">
        <is>
          <t>INTERNOS</t>
        </is>
      </c>
      <c r="B16" s="221" t="n"/>
      <c r="C16" s="221" t="n"/>
      <c r="D16" s="221" t="n"/>
      <c r="E16" s="221" t="n"/>
      <c r="F16" s="221" t="n"/>
      <c r="G16" s="222" t="n"/>
      <c r="H16" s="220" t="inlineStr">
        <is>
          <t>FINS DE CURSO</t>
        </is>
      </c>
      <c r="I16" s="221" t="n"/>
      <c r="J16" s="221" t="n"/>
      <c r="K16" s="221" t="n"/>
      <c r="L16" s="221" t="n"/>
      <c r="M16" s="221" t="n"/>
      <c r="N16" s="221" t="n"/>
      <c r="O16" s="221" t="n"/>
      <c r="P16" s="221" t="n"/>
      <c r="Q16" s="221" t="n"/>
      <c r="R16" s="221" t="n"/>
      <c r="S16" s="222" t="n"/>
      <c r="X16" s="69" t="n"/>
      <c r="Y16" s="69" t="n"/>
      <c r="Z16" s="69" t="n"/>
    </row>
    <row r="17">
      <c r="A17" s="18" t="inlineStr">
        <is>
          <t>Material das gaxetas</t>
        </is>
      </c>
      <c r="B17" s="227" t="n"/>
      <c r="C17" s="212" t="n"/>
      <c r="D17" s="212" t="n"/>
      <c r="E17" s="212" t="n"/>
      <c r="F17" s="212" t="n"/>
      <c r="G17" s="214" t="n"/>
      <c r="H17" s="146" t="inlineStr">
        <is>
          <t>TAG</t>
        </is>
      </c>
      <c r="I17" s="181" t="n"/>
      <c r="J17" s="181" t="n"/>
      <c r="K17" s="181" t="n"/>
      <c r="L17" s="181" t="n"/>
      <c r="M17" s="202" t="n"/>
      <c r="N17" s="228" t="n"/>
      <c r="S17" s="192" t="n"/>
      <c r="X17" s="69" t="n"/>
      <c r="Z17" s="69" t="n"/>
    </row>
    <row r="18">
      <c r="A18" s="3" t="inlineStr">
        <is>
          <t>Sede</t>
        </is>
      </c>
      <c r="B18" s="229" t="n"/>
      <c r="C18" s="205" t="n"/>
      <c r="D18" s="205" t="n"/>
      <c r="E18" s="205" t="n"/>
      <c r="F18" s="205" t="n"/>
      <c r="G18" s="216" t="n"/>
      <c r="H18" s="130" t="inlineStr">
        <is>
          <t>Tipo</t>
        </is>
      </c>
      <c r="I18" s="205" t="n"/>
      <c r="J18" s="205" t="n"/>
      <c r="K18" s="205" t="n"/>
      <c r="L18" s="205" t="n"/>
      <c r="M18" s="206" t="n"/>
      <c r="N18" s="224" t="n"/>
      <c r="O18" s="184" t="n"/>
      <c r="P18" s="184" t="n"/>
      <c r="Q18" s="184" t="n"/>
      <c r="R18" s="184" t="n"/>
      <c r="S18" s="185" t="n"/>
      <c r="X18" s="69" t="n"/>
      <c r="Z18" s="69" t="n"/>
    </row>
    <row r="19">
      <c r="A19" s="5" t="inlineStr">
        <is>
          <t>Material do disco</t>
        </is>
      </c>
      <c r="B19" s="229" t="n"/>
      <c r="C19" s="205" t="n"/>
      <c r="D19" s="205" t="n"/>
      <c r="E19" s="205" t="n"/>
      <c r="F19" s="205" t="n"/>
      <c r="G19" s="216" t="n"/>
      <c r="H19" s="130" t="inlineStr">
        <is>
          <t>Quantidade</t>
        </is>
      </c>
      <c r="I19" s="205" t="n"/>
      <c r="J19" s="205" t="n"/>
      <c r="K19" s="205" t="n"/>
      <c r="L19" s="205" t="n"/>
      <c r="M19" s="206" t="n"/>
      <c r="N19" s="224" t="n"/>
      <c r="O19" s="184" t="n"/>
      <c r="P19" s="184" t="n"/>
      <c r="Q19" s="184" t="n"/>
      <c r="R19" s="184" t="n"/>
      <c r="S19" s="185" t="n"/>
      <c r="X19" s="69" t="n"/>
      <c r="Z19" s="69" t="n"/>
    </row>
    <row r="20">
      <c r="A20" s="5" t="inlineStr">
        <is>
          <t>Material da haste</t>
        </is>
      </c>
      <c r="B20" s="229" t="n"/>
      <c r="C20" s="205" t="n"/>
      <c r="D20" s="205" t="n"/>
      <c r="E20" s="205" t="n"/>
      <c r="F20" s="205" t="n"/>
      <c r="G20" s="216" t="n"/>
      <c r="H20" s="130" t="inlineStr">
        <is>
          <t>Tipo dos contatos</t>
        </is>
      </c>
      <c r="I20" s="205" t="n"/>
      <c r="J20" s="205" t="n"/>
      <c r="K20" s="205" t="n"/>
      <c r="L20" s="205" t="n"/>
      <c r="M20" s="206" t="n"/>
      <c r="N20" s="224" t="n"/>
      <c r="O20" s="184" t="n"/>
      <c r="P20" s="184" t="n"/>
      <c r="Q20" s="184" t="n"/>
      <c r="R20" s="184" t="n"/>
      <c r="S20" s="185" t="n"/>
      <c r="X20" s="69" t="n"/>
      <c r="Z20" s="69" t="n"/>
    </row>
    <row r="21">
      <c r="A21" s="3" t="inlineStr">
        <is>
          <t>Obturador balanceado</t>
        </is>
      </c>
      <c r="B21" s="229" t="n"/>
      <c r="C21" s="205" t="n"/>
      <c r="D21" s="205" t="n"/>
      <c r="E21" s="205" t="n"/>
      <c r="F21" s="205" t="n"/>
      <c r="G21" s="216" t="n"/>
      <c r="H21" s="130" t="inlineStr">
        <is>
          <t>Conexão elétrica</t>
        </is>
      </c>
      <c r="I21" s="205" t="n"/>
      <c r="J21" s="205" t="n"/>
      <c r="K21" s="205" t="n"/>
      <c r="L21" s="205" t="n"/>
      <c r="M21" s="206" t="n"/>
      <c r="N21" s="224" t="n"/>
      <c r="O21" s="184" t="n"/>
      <c r="P21" s="184" t="n"/>
      <c r="Q21" s="184" t="n"/>
      <c r="R21" s="184" t="n"/>
      <c r="S21" s="185" t="n"/>
      <c r="X21" s="69" t="n"/>
      <c r="Z21" s="69" t="n"/>
    </row>
    <row r="22">
      <c r="A22" s="3" t="inlineStr">
        <is>
          <t>Direção do fluxo</t>
        </is>
      </c>
      <c r="B22" s="229" t="n"/>
      <c r="C22" s="205" t="n"/>
      <c r="D22" s="205" t="n"/>
      <c r="E22" s="205" t="n"/>
      <c r="F22" s="205" t="n"/>
      <c r="G22" s="216" t="n"/>
      <c r="H22" s="130" t="inlineStr">
        <is>
          <t>Classificação de área</t>
        </is>
      </c>
      <c r="I22" s="205" t="n"/>
      <c r="J22" s="205" t="n"/>
      <c r="K22" s="205" t="n"/>
      <c r="L22" s="205" t="n"/>
      <c r="M22" s="206" t="n"/>
      <c r="N22" s="224" t="n"/>
      <c r="O22" s="184" t="n"/>
      <c r="P22" s="184" t="n"/>
      <c r="Q22" s="184" t="n"/>
      <c r="R22" s="184" t="n"/>
      <c r="S22" s="185" t="n"/>
      <c r="X22" s="69" t="n"/>
      <c r="Z22" s="69" t="n"/>
    </row>
    <row r="23" ht="13.8" customHeight="1" thickBot="1">
      <c r="A23" s="6" t="inlineStr">
        <is>
          <t>Guias</t>
        </is>
      </c>
      <c r="B23" s="230" t="n"/>
      <c r="C23" s="208" t="n"/>
      <c r="D23" s="208" t="n"/>
      <c r="E23" s="208" t="n"/>
      <c r="F23" s="208" t="n"/>
      <c r="G23" s="226" t="n"/>
      <c r="H23" s="147" t="inlineStr">
        <is>
          <t>Classificação do invólucro</t>
        </is>
      </c>
      <c r="I23" s="184" t="n"/>
      <c r="J23" s="184" t="n"/>
      <c r="K23" s="184" t="n"/>
      <c r="L23" s="184" t="n"/>
      <c r="M23" s="231" t="n"/>
      <c r="N23" s="224" t="n"/>
      <c r="O23" s="184" t="n"/>
      <c r="P23" s="184" t="n"/>
      <c r="Q23" s="184" t="n"/>
      <c r="R23" s="184" t="n"/>
      <c r="S23" s="185" t="n"/>
      <c r="X23" s="69" t="n"/>
      <c r="Z23" s="69" t="n"/>
    </row>
    <row r="24" ht="13.8" customHeight="1" thickBot="1">
      <c r="A24" s="220" t="inlineStr">
        <is>
          <t>ATUADOR</t>
        </is>
      </c>
      <c r="B24" s="221" t="n"/>
      <c r="C24" s="221" t="n"/>
      <c r="D24" s="221" t="n"/>
      <c r="E24" s="221" t="n"/>
      <c r="F24" s="221" t="n"/>
      <c r="G24" s="222" t="n"/>
      <c r="H24" s="220" t="inlineStr">
        <is>
          <t>DADOS DE PROCESSO</t>
        </is>
      </c>
      <c r="I24" s="221" t="n"/>
      <c r="J24" s="221" t="n"/>
      <c r="K24" s="221" t="n"/>
      <c r="L24" s="221" t="n"/>
      <c r="M24" s="221" t="n"/>
      <c r="N24" s="221" t="n"/>
      <c r="O24" s="221" t="n"/>
      <c r="P24" s="221" t="n"/>
      <c r="Q24" s="221" t="n"/>
      <c r="R24" s="221" t="n"/>
      <c r="S24" s="222" t="n"/>
    </row>
    <row r="25">
      <c r="A25" s="17" t="inlineStr">
        <is>
          <t>Tipo</t>
        </is>
      </c>
      <c r="B25" s="152" t="n"/>
      <c r="C25" s="181" t="n"/>
      <c r="D25" s="181" t="n"/>
      <c r="E25" s="181" t="n"/>
      <c r="F25" s="181" t="n"/>
      <c r="G25" s="181" t="n"/>
      <c r="H25" s="18" t="inlineStr">
        <is>
          <t>Fluido</t>
        </is>
      </c>
      <c r="I25" s="212" t="n"/>
      <c r="J25" s="212" t="n"/>
      <c r="K25" s="212" t="n"/>
      <c r="L25" s="212" t="n"/>
      <c r="M25" s="213" t="n"/>
      <c r="N25" s="232" t="inlineStr">
        <is>
          <t>ÁGUA DE PROCESSO</t>
        </is>
      </c>
      <c r="O25" s="173" t="n"/>
      <c r="P25" s="173" t="n"/>
      <c r="Q25" s="173" t="n"/>
      <c r="R25" s="173" t="n"/>
      <c r="S25" s="177" t="n"/>
    </row>
    <row r="26">
      <c r="A26" s="3" t="inlineStr">
        <is>
          <t>Range</t>
        </is>
      </c>
      <c r="B26" s="148" t="n"/>
      <c r="C26" s="205" t="n"/>
      <c r="D26" s="205" t="n"/>
      <c r="E26" s="205" t="n"/>
      <c r="F26" s="205" t="n"/>
      <c r="G26" s="205" t="n"/>
      <c r="H26" s="3" t="inlineStr">
        <is>
          <t>Estado físico</t>
        </is>
      </c>
      <c r="I26" s="205" t="n"/>
      <c r="J26" s="205" t="n"/>
      <c r="K26" s="205" t="n"/>
      <c r="L26" s="205" t="n"/>
      <c r="M26" s="206" t="n"/>
      <c r="N26" s="233" t="n"/>
      <c r="O26" s="184" t="n"/>
      <c r="P26" s="184" t="n"/>
      <c r="Q26" s="184" t="n"/>
      <c r="R26" s="184" t="n"/>
      <c r="S26" s="185" t="n"/>
    </row>
    <row r="27">
      <c r="A27" s="3" t="inlineStr">
        <is>
          <t>Volante</t>
        </is>
      </c>
      <c r="B27" s="148" t="n"/>
      <c r="C27" s="205" t="n"/>
      <c r="D27" s="205" t="n"/>
      <c r="E27" s="205" t="n"/>
      <c r="F27" s="205" t="n"/>
      <c r="G27" s="205" t="n"/>
      <c r="H27" s="3" t="inlineStr">
        <is>
          <t>Pressão de entrada</t>
        </is>
      </c>
      <c r="I27" s="205" t="n"/>
      <c r="J27" s="205" t="n"/>
      <c r="K27" s="205" t="n"/>
      <c r="L27" s="205" t="n"/>
      <c r="M27" s="206" t="n"/>
      <c r="N27" s="233" t="inlineStr">
        <is>
          <t>2</t>
        </is>
      </c>
      <c r="O27" s="184" t="n"/>
      <c r="P27" s="184" t="n"/>
      <c r="Q27" s="184" t="n"/>
      <c r="R27" s="184" t="n"/>
      <c r="S27" s="185" t="n"/>
    </row>
    <row r="28">
      <c r="A28" s="3" t="inlineStr">
        <is>
          <t>Ação em caso de falha</t>
        </is>
      </c>
      <c r="B28" s="148" t="n"/>
      <c r="C28" s="205" t="n"/>
      <c r="D28" s="205" t="n"/>
      <c r="E28" s="205" t="n"/>
      <c r="F28" s="205" t="n"/>
      <c r="G28" s="205" t="n"/>
      <c r="H28" s="3" t="inlineStr">
        <is>
          <t>Pressão de saída</t>
        </is>
      </c>
      <c r="I28" s="205" t="n"/>
      <c r="J28" s="205" t="n"/>
      <c r="K28" s="205" t="n"/>
      <c r="L28" s="205" t="n"/>
      <c r="M28" s="206" t="n"/>
      <c r="N28" s="233" t="n"/>
      <c r="O28" s="184" t="n"/>
      <c r="P28" s="184" t="n"/>
      <c r="Q28" s="184" t="n"/>
      <c r="R28" s="184" t="n"/>
      <c r="S28" s="185" t="n"/>
    </row>
    <row r="29" ht="13.8" customHeight="1" thickBot="1">
      <c r="A29" s="16" t="inlineStr">
        <is>
          <t>Pressão suprimento de ar (min/max)</t>
        </is>
      </c>
      <c r="B29" s="150" t="n"/>
      <c r="C29" s="184" t="n"/>
      <c r="D29" s="184" t="n"/>
      <c r="E29" s="184" t="n"/>
      <c r="F29" s="184" t="n"/>
      <c r="G29" s="184" t="n"/>
      <c r="H29" s="3" t="inlineStr">
        <is>
          <t>Viscosidade</t>
        </is>
      </c>
      <c r="I29" s="205" t="n"/>
      <c r="J29" s="205" t="n"/>
      <c r="K29" s="205" t="n"/>
      <c r="L29" s="205" t="n"/>
      <c r="M29" s="206" t="n"/>
      <c r="N29" s="233" t="inlineStr">
        <is>
          <t>1 cP</t>
        </is>
      </c>
      <c r="O29" s="184" t="n"/>
      <c r="P29" s="184" t="n"/>
      <c r="Q29" s="184" t="n"/>
      <c r="R29" s="184" t="n"/>
      <c r="S29" s="185" t="n"/>
    </row>
    <row r="30" ht="13.8" customHeight="1" thickBot="1">
      <c r="A30" s="142" t="inlineStr">
        <is>
          <t>POSICIONADOR</t>
        </is>
      </c>
      <c r="B30" s="221" t="n"/>
      <c r="C30" s="221" t="n"/>
      <c r="D30" s="221" t="n"/>
      <c r="E30" s="221" t="n"/>
      <c r="F30" s="221" t="n"/>
      <c r="G30" s="221" t="n"/>
      <c r="H30" s="3" t="inlineStr">
        <is>
          <t>Vazão normal</t>
        </is>
      </c>
      <c r="I30" s="205" t="n"/>
      <c r="J30" s="205" t="n"/>
      <c r="K30" s="205" t="n"/>
      <c r="L30" s="205" t="n"/>
      <c r="M30" s="206" t="n"/>
      <c r="N30" s="233" t="n"/>
      <c r="O30" s="184" t="n"/>
      <c r="P30" s="184" t="n"/>
      <c r="Q30" s="184" t="n"/>
      <c r="R30" s="184" t="n"/>
      <c r="S30" s="185" t="n"/>
    </row>
    <row r="31">
      <c r="A31" s="17" t="inlineStr">
        <is>
          <t>Tipo</t>
        </is>
      </c>
      <c r="B31" s="152" t="n"/>
      <c r="C31" s="181" t="n"/>
      <c r="D31" s="181" t="n"/>
      <c r="E31" s="181" t="n"/>
      <c r="F31" s="181" t="n"/>
      <c r="G31" s="181" t="n"/>
      <c r="H31" s="3" t="inlineStr">
        <is>
          <t>Vazão máxima</t>
        </is>
      </c>
      <c r="I31" s="205" t="n"/>
      <c r="J31" s="205" t="n"/>
      <c r="K31" s="205" t="n"/>
      <c r="L31" s="205" t="n"/>
      <c r="M31" s="206" t="n"/>
      <c r="N31" s="233" t="inlineStr">
        <is>
          <t>6.0</t>
        </is>
      </c>
      <c r="O31" s="184" t="n"/>
      <c r="P31" s="184" t="n"/>
      <c r="Q31" s="184" t="n"/>
      <c r="R31" s="184" t="n"/>
      <c r="S31" s="185" t="n"/>
    </row>
    <row r="32">
      <c r="A32" s="3" t="inlineStr">
        <is>
          <t>By-pass</t>
        </is>
      </c>
      <c r="B32" s="148" t="n"/>
      <c r="C32" s="205" t="n"/>
      <c r="D32" s="205" t="n"/>
      <c r="E32" s="205" t="n"/>
      <c r="F32" s="205" t="n"/>
      <c r="G32" s="205" t="n"/>
      <c r="H32" s="3" t="inlineStr">
        <is>
          <t>Vazão mínima</t>
        </is>
      </c>
      <c r="I32" s="205" t="n"/>
      <c r="J32" s="205" t="n"/>
      <c r="K32" s="205" t="n"/>
      <c r="L32" s="205" t="n"/>
      <c r="M32" s="206" t="n"/>
      <c r="N32" s="233" t="inlineStr">
        <is>
          <t>1.0</t>
        </is>
      </c>
      <c r="O32" s="184" t="n"/>
      <c r="P32" s="184" t="n"/>
      <c r="Q32" s="184" t="n"/>
      <c r="R32" s="184" t="n"/>
      <c r="S32" s="185" t="n"/>
    </row>
    <row r="33">
      <c r="A33" s="3" t="inlineStr">
        <is>
          <t>Manômetros quantidade</t>
        </is>
      </c>
      <c r="B33" s="148" t="n"/>
      <c r="C33" s="205" t="n"/>
      <c r="D33" s="205" t="n"/>
      <c r="E33" s="205" t="n"/>
      <c r="F33" s="205" t="n"/>
      <c r="G33" s="205" t="n"/>
      <c r="H33" s="3" t="inlineStr">
        <is>
          <t>Pressão shut off</t>
        </is>
      </c>
      <c r="I33" s="205" t="n"/>
      <c r="J33" s="205" t="n"/>
      <c r="K33" s="205" t="n"/>
      <c r="L33" s="205" t="n"/>
      <c r="M33" s="206" t="n"/>
      <c r="N33" s="233" t="n"/>
      <c r="O33" s="184" t="n"/>
      <c r="P33" s="184" t="n"/>
      <c r="Q33" s="184" t="n"/>
      <c r="R33" s="184" t="n"/>
      <c r="S33" s="185" t="n"/>
    </row>
    <row r="34">
      <c r="A34" s="3" t="inlineStr">
        <is>
          <t>Sinal de entrada</t>
        </is>
      </c>
      <c r="B34" s="148" t="n"/>
      <c r="C34" s="205" t="n"/>
      <c r="D34" s="205" t="n"/>
      <c r="E34" s="205" t="n"/>
      <c r="F34" s="205" t="n"/>
      <c r="G34" s="205" t="n"/>
      <c r="H34" s="3" t="inlineStr">
        <is>
          <t>Temperatura máxima</t>
        </is>
      </c>
      <c r="I34" s="205" t="n"/>
      <c r="J34" s="205" t="n"/>
      <c r="K34" s="205" t="n"/>
      <c r="L34" s="205" t="n"/>
      <c r="M34" s="206" t="n"/>
      <c r="N34" s="233" t="inlineStr">
        <is>
          <t>35</t>
        </is>
      </c>
      <c r="O34" s="184" t="n"/>
      <c r="P34" s="184" t="n"/>
      <c r="Q34" s="184" t="n"/>
      <c r="R34" s="184" t="n"/>
      <c r="S34" s="185" t="n"/>
    </row>
    <row r="35">
      <c r="A35" s="3" t="inlineStr">
        <is>
          <t>Sial de saída</t>
        </is>
      </c>
      <c r="B35" s="148" t="n"/>
      <c r="C35" s="205" t="n"/>
      <c r="D35" s="205" t="n"/>
      <c r="E35" s="205" t="n"/>
      <c r="F35" s="205" t="n"/>
      <c r="G35" s="205" t="n"/>
      <c r="H35" s="3" t="inlineStr">
        <is>
          <t>Temperatura normal</t>
        </is>
      </c>
      <c r="I35" s="205" t="n"/>
      <c r="J35" s="205" t="n"/>
      <c r="K35" s="205" t="n"/>
      <c r="L35" s="205" t="n"/>
      <c r="M35" s="206" t="n"/>
      <c r="N35" s="233" t="n"/>
      <c r="O35" s="184" t="n"/>
      <c r="P35" s="184" t="n"/>
      <c r="Q35" s="184" t="n"/>
      <c r="R35" s="184" t="n"/>
      <c r="S35" s="185" t="n"/>
    </row>
    <row r="36">
      <c r="A36" s="3" t="inlineStr">
        <is>
          <t>Característica do came</t>
        </is>
      </c>
      <c r="B36" s="148" t="n"/>
      <c r="C36" s="205" t="n"/>
      <c r="D36" s="205" t="n"/>
      <c r="E36" s="205" t="n"/>
      <c r="F36" s="205" t="n"/>
      <c r="G36" s="205" t="n"/>
      <c r="H36" s="3" t="inlineStr">
        <is>
          <t>Massa específica</t>
        </is>
      </c>
      <c r="I36" s="205" t="n"/>
      <c r="J36" s="205" t="n"/>
      <c r="K36" s="205" t="n"/>
      <c r="L36" s="205" t="n"/>
      <c r="M36" s="206" t="n"/>
      <c r="N36" s="233" t="inlineStr">
        <is>
          <t>998 kg/m3</t>
        </is>
      </c>
      <c r="O36" s="184" t="n"/>
      <c r="P36" s="184" t="n"/>
      <c r="Q36" s="184" t="n"/>
      <c r="R36" s="184" t="n"/>
      <c r="S36" s="185" t="n"/>
    </row>
    <row r="37" ht="13.8" customHeight="1" thickBot="1">
      <c r="A37" s="16" t="inlineStr">
        <is>
          <t>Alimentação de ar</t>
        </is>
      </c>
      <c r="B37" s="150" t="n"/>
      <c r="C37" s="184" t="n"/>
      <c r="D37" s="184" t="n"/>
      <c r="E37" s="184" t="n"/>
      <c r="F37" s="184" t="n"/>
      <c r="G37" s="184" t="n"/>
      <c r="H37" s="3" t="inlineStr">
        <is>
          <t>Cv calculado (máximo) / % abertura</t>
        </is>
      </c>
      <c r="I37" s="205" t="n"/>
      <c r="J37" s="205" t="n"/>
      <c r="K37" s="205" t="n"/>
      <c r="L37" s="205" t="n"/>
      <c r="M37" s="206" t="n"/>
      <c r="N37" s="224" t="n"/>
      <c r="O37" s="184" t="n"/>
      <c r="P37" s="184" t="n"/>
      <c r="Q37" s="184" t="n"/>
      <c r="R37" s="184" t="n"/>
      <c r="S37" s="185" t="n"/>
    </row>
    <row r="38" ht="13.8" customHeight="1" thickBot="1">
      <c r="A38" s="142" t="inlineStr">
        <is>
          <t>ACESSÓRIOS</t>
        </is>
      </c>
      <c r="B38" s="221" t="n"/>
      <c r="C38" s="221" t="n"/>
      <c r="D38" s="221" t="n"/>
      <c r="E38" s="221" t="n"/>
      <c r="F38" s="221" t="n"/>
      <c r="G38" s="221" t="n"/>
      <c r="H38" s="3" t="inlineStr">
        <is>
          <t>Cv calculado (normal) / % abertura</t>
        </is>
      </c>
      <c r="I38" s="205" t="n"/>
      <c r="J38" s="205" t="n"/>
      <c r="K38" s="205" t="n"/>
      <c r="L38" s="205" t="n"/>
      <c r="M38" s="206" t="n"/>
      <c r="N38" s="224" t="n"/>
      <c r="O38" s="184" t="n"/>
      <c r="P38" s="184" t="n"/>
      <c r="Q38" s="184" t="n"/>
      <c r="R38" s="184" t="n"/>
      <c r="S38" s="185" t="n"/>
    </row>
    <row r="39">
      <c r="A39" s="17" t="inlineStr">
        <is>
          <t>Filtro / Filtro regulador</t>
        </is>
      </c>
      <c r="B39" s="152" t="n"/>
      <c r="C39" s="181" t="n"/>
      <c r="D39" s="181" t="n"/>
      <c r="E39" s="181" t="n"/>
      <c r="F39" s="181" t="n"/>
      <c r="G39" s="181" t="n"/>
      <c r="H39" s="3" t="inlineStr">
        <is>
          <t>Cv calculado (mínimo) / % abertura</t>
        </is>
      </c>
      <c r="I39" s="205" t="n"/>
      <c r="J39" s="205" t="n"/>
      <c r="K39" s="205" t="n"/>
      <c r="L39" s="205" t="n"/>
      <c r="M39" s="206" t="n"/>
      <c r="N39" s="224" t="n"/>
      <c r="O39" s="184" t="n"/>
      <c r="P39" s="184" t="n"/>
      <c r="Q39" s="184" t="n"/>
      <c r="R39" s="184" t="n"/>
      <c r="S39" s="185" t="n"/>
    </row>
    <row r="40">
      <c r="A40" s="3" t="inlineStr">
        <is>
          <t>Manômetro para o regulador</t>
        </is>
      </c>
      <c r="B40" s="148" t="n"/>
      <c r="C40" s="205" t="n"/>
      <c r="D40" s="205" t="n"/>
      <c r="E40" s="205" t="n"/>
      <c r="F40" s="205" t="n"/>
      <c r="G40" s="205" t="n"/>
      <c r="H40" s="3" t="inlineStr">
        <is>
          <t>Cv selecionado</t>
        </is>
      </c>
      <c r="I40" s="205" t="n"/>
      <c r="J40" s="205" t="n"/>
      <c r="K40" s="205" t="n"/>
      <c r="L40" s="205" t="n"/>
      <c r="M40" s="206" t="n"/>
      <c r="N40" s="224" t="n"/>
      <c r="O40" s="184" t="n"/>
      <c r="P40" s="184" t="n"/>
      <c r="Q40" s="184" t="n"/>
      <c r="R40" s="184" t="n"/>
      <c r="S40" s="185" t="n"/>
    </row>
    <row r="41" ht="13.8" customHeight="1" thickBot="1">
      <c r="A41" s="6" t="inlineStr">
        <is>
          <t>Posição do volante</t>
        </is>
      </c>
      <c r="B41" s="154" t="n"/>
      <c r="C41" s="208" t="n"/>
      <c r="D41" s="208" t="n"/>
      <c r="E41" s="208" t="n"/>
      <c r="F41" s="208" t="n"/>
      <c r="G41" s="208" t="n"/>
      <c r="H41" s="6" t="inlineStr">
        <is>
          <t>Nível de ruído</t>
        </is>
      </c>
      <c r="I41" s="208" t="n"/>
      <c r="J41" s="208" t="n"/>
      <c r="K41" s="208" t="n"/>
      <c r="L41" s="208" t="n"/>
      <c r="M41" s="209" t="n"/>
      <c r="N41" s="225" t="n"/>
      <c r="O41" s="208" t="n"/>
      <c r="P41" s="208" t="n"/>
      <c r="Q41" s="208" t="n"/>
      <c r="R41" s="208" t="n"/>
      <c r="S41" s="226" t="n"/>
    </row>
    <row r="42">
      <c r="A42" s="234" t="inlineStr">
        <is>
          <t>Notas:</t>
        </is>
      </c>
      <c r="B42" s="173" t="n"/>
      <c r="C42" s="173" t="n"/>
      <c r="D42" s="173" t="n"/>
      <c r="E42" s="173" t="n"/>
      <c r="F42" s="173" t="n"/>
      <c r="G42" s="173" t="n"/>
      <c r="H42" s="173" t="n"/>
      <c r="I42" s="173" t="n"/>
      <c r="J42" s="173" t="n"/>
      <c r="K42" s="173" t="n"/>
      <c r="L42" s="173" t="n"/>
      <c r="M42" s="173" t="n"/>
      <c r="N42" s="173" t="n"/>
      <c r="O42" s="173" t="n"/>
      <c r="P42" s="173" t="n"/>
      <c r="Q42" s="173" t="n"/>
      <c r="R42" s="173" t="n"/>
      <c r="S42" s="177" t="n"/>
    </row>
    <row r="43" ht="13.8" customHeight="1" thickBot="1">
      <c r="A43" s="235" t="inlineStr">
        <is>
          <t>(NOTA 1): CRESTIVO (A16003E); BIRK 25% (A25191A); BIRTEA; CRESTIVO DUO</t>
        </is>
      </c>
      <c r="B43" s="197" t="n"/>
      <c r="C43" s="197" t="n"/>
      <c r="D43" s="197" t="n"/>
      <c r="E43" s="197" t="n"/>
      <c r="F43" s="197" t="n"/>
      <c r="G43" s="197" t="n"/>
      <c r="H43" s="197" t="n"/>
      <c r="I43" s="197" t="n"/>
      <c r="J43" s="197" t="n"/>
      <c r="K43" s="197" t="n"/>
      <c r="L43" s="197" t="n"/>
      <c r="M43" s="197" t="n"/>
      <c r="N43" s="197" t="n"/>
      <c r="O43" s="197" t="n"/>
      <c r="P43" s="197" t="n"/>
      <c r="Q43" s="197" t="n"/>
      <c r="R43" s="197" t="n"/>
      <c r="S43" s="199" t="n"/>
    </row>
    <row r="44">
      <c r="A44" s="7" t="n"/>
    </row>
    <row r="45">
      <c r="A45" s="2" t="n"/>
    </row>
    <row r="46">
      <c r="A46" s="2" t="n"/>
    </row>
    <row r="47">
      <c r="A47" s="2" t="n"/>
    </row>
    <row r="48">
      <c r="A48" s="2" t="n"/>
    </row>
    <row r="49">
      <c r="A49" s="2" t="n"/>
    </row>
    <row r="50">
      <c r="A50" s="2" t="n"/>
    </row>
    <row r="51">
      <c r="A51" s="2" t="n"/>
    </row>
    <row r="52">
      <c r="A52" s="2" t="n"/>
    </row>
    <row r="53">
      <c r="A53" s="2" t="n"/>
    </row>
    <row r="54">
      <c r="A54" s="2" t="n"/>
    </row>
  </sheetData>
  <mergeCells count="116">
    <mergeCell ref="H21:M21"/>
    <mergeCell ref="N23:S23"/>
    <mergeCell ref="B8:G8"/>
    <mergeCell ref="N18:S18"/>
    <mergeCell ref="A1:A4"/>
    <mergeCell ref="N8:S8"/>
    <mergeCell ref="H7:M7"/>
    <mergeCell ref="B10:G10"/>
    <mergeCell ref="N10:S10"/>
    <mergeCell ref="A30:G30"/>
    <mergeCell ref="H27:M27"/>
    <mergeCell ref="N34:S34"/>
    <mergeCell ref="H33:M33"/>
    <mergeCell ref="B36:G36"/>
    <mergeCell ref="N27:S27"/>
    <mergeCell ref="H5:S5"/>
    <mergeCell ref="N36:S36"/>
    <mergeCell ref="H35:M35"/>
    <mergeCell ref="N11:S11"/>
    <mergeCell ref="N20:S20"/>
    <mergeCell ref="B22:G22"/>
    <mergeCell ref="B31:G31"/>
    <mergeCell ref="N22:S22"/>
    <mergeCell ref="H9:M9"/>
    <mergeCell ref="B12:G12"/>
    <mergeCell ref="H39:M39"/>
    <mergeCell ref="B21:G21"/>
    <mergeCell ref="B39:G39"/>
    <mergeCell ref="N12:S12"/>
    <mergeCell ref="N21:S21"/>
    <mergeCell ref="B14:G14"/>
    <mergeCell ref="B23:G23"/>
    <mergeCell ref="N14:S14"/>
    <mergeCell ref="B13:G13"/>
    <mergeCell ref="A43:S43"/>
    <mergeCell ref="N38:S38"/>
    <mergeCell ref="H16:S16"/>
    <mergeCell ref="H32:M32"/>
    <mergeCell ref="H13:M13"/>
    <mergeCell ref="N40:S40"/>
    <mergeCell ref="B33:G33"/>
    <mergeCell ref="H15:M15"/>
    <mergeCell ref="H18:M18"/>
    <mergeCell ref="B41:G41"/>
    <mergeCell ref="B35:G35"/>
    <mergeCell ref="C2:S2"/>
    <mergeCell ref="H8:M8"/>
    <mergeCell ref="N26:S26"/>
    <mergeCell ref="N35:S35"/>
    <mergeCell ref="H26:M26"/>
    <mergeCell ref="B25:G25"/>
    <mergeCell ref="N25:S25"/>
    <mergeCell ref="H10:M10"/>
    <mergeCell ref="H41:M41"/>
    <mergeCell ref="B27:G27"/>
    <mergeCell ref="H34:M34"/>
    <mergeCell ref="H25:M25"/>
    <mergeCell ref="B11:G11"/>
    <mergeCell ref="A5:G5"/>
    <mergeCell ref="A42:S42"/>
    <mergeCell ref="H36:M36"/>
    <mergeCell ref="A38:G38"/>
    <mergeCell ref="H17:M17"/>
    <mergeCell ref="N39:S39"/>
    <mergeCell ref="H11:M11"/>
    <mergeCell ref="B29:G29"/>
    <mergeCell ref="N29:S29"/>
    <mergeCell ref="H19:M19"/>
    <mergeCell ref="H28:M28"/>
    <mergeCell ref="H37:M37"/>
    <mergeCell ref="A24:G24"/>
    <mergeCell ref="N13:S13"/>
    <mergeCell ref="B40:G40"/>
    <mergeCell ref="H12:M12"/>
    <mergeCell ref="N31:S31"/>
    <mergeCell ref="B15:G15"/>
    <mergeCell ref="J1:S1"/>
    <mergeCell ref="N6:S6"/>
    <mergeCell ref="N15:S15"/>
    <mergeCell ref="H24:S24"/>
    <mergeCell ref="H14:M14"/>
    <mergeCell ref="B32:G32"/>
    <mergeCell ref="H23:M23"/>
    <mergeCell ref="A16:G16"/>
    <mergeCell ref="B26:G26"/>
    <mergeCell ref="Y16:Y23"/>
    <mergeCell ref="B7:G7"/>
    <mergeCell ref="H38:M38"/>
    <mergeCell ref="N32:S32"/>
    <mergeCell ref="N7:S7"/>
    <mergeCell ref="N41:S41"/>
    <mergeCell ref="H40:M40"/>
    <mergeCell ref="B18:G18"/>
    <mergeCell ref="N33:S33"/>
    <mergeCell ref="B17:G17"/>
    <mergeCell ref="N17:S17"/>
    <mergeCell ref="B19:G19"/>
    <mergeCell ref="B34:G34"/>
    <mergeCell ref="B28:G28"/>
    <mergeCell ref="B37:G37"/>
    <mergeCell ref="N19:S19"/>
    <mergeCell ref="H22:M22"/>
    <mergeCell ref="B9:G9"/>
    <mergeCell ref="N28:S28"/>
    <mergeCell ref="N9:S9"/>
    <mergeCell ref="B6:G6"/>
    <mergeCell ref="B20:G20"/>
    <mergeCell ref="N30:S30"/>
    <mergeCell ref="B3:S4"/>
    <mergeCell ref="H30:M30"/>
    <mergeCell ref="H20:M20"/>
    <mergeCell ref="H29:M29"/>
    <mergeCell ref="B1:H1"/>
    <mergeCell ref="N37:S37"/>
    <mergeCell ref="H31:M31"/>
    <mergeCell ref="H6:M6"/>
  </mergeCells>
  <pageMargins left="0.25" right="0.25" top="0.75" bottom="0.75" header="0.3" footer="0.3"/>
  <pageSetup orientation="portrait" paperSize="9" scale="82"/>
</worksheet>
</file>

<file path=xl/worksheets/sheet12.xml><?xml version="1.0" encoding="utf-8"?>
<worksheet xmlns="http://schemas.openxmlformats.org/spreadsheetml/2006/main">
  <sheetPr codeName="Planilha2">
    <outlinePr summaryBelow="1" summaryRight="1"/>
    <pageSetUpPr fitToPage="1"/>
  </sheetPr>
  <dimension ref="A1:Z54"/>
  <sheetViews>
    <sheetView workbookViewId="0">
      <selection activeCell="A1" sqref="A1"/>
    </sheetView>
  </sheetViews>
  <sheetFormatPr baseColWidth="8" defaultRowHeight="13.2"/>
  <cols>
    <col width="35.109375" bestFit="1" customWidth="1" style="137" min="1" max="1"/>
    <col width="4.88671875" customWidth="1" style="137" min="2" max="19"/>
  </cols>
  <sheetData>
    <row r="1" ht="14.25" customHeight="1">
      <c r="A1" s="210">
        <f>_xlfn.IMAGE("https://technikgrupo.sharepoint.com/sites/transfer/Logos/Technik.png")</f>
        <v/>
      </c>
      <c r="B1" s="211" t="inlineStr">
        <is>
          <t>FOLHA DE DADOS</t>
        </is>
      </c>
      <c r="C1" s="212" t="n"/>
      <c r="D1" s="212" t="n"/>
      <c r="E1" s="212" t="n"/>
      <c r="F1" s="212" t="n"/>
      <c r="G1" s="212" t="n"/>
      <c r="H1" s="213" t="n"/>
      <c r="I1" s="19" t="inlineStr">
        <is>
          <t>Nº.:</t>
        </is>
      </c>
      <c r="J1" s="166">
        <f>"FD-"&amp;Config!D2&amp;"-"&amp;Config!F2&amp;"-001"</f>
        <v/>
      </c>
      <c r="K1" s="212" t="n"/>
      <c r="L1" s="212" t="n"/>
      <c r="M1" s="212" t="n"/>
      <c r="N1" s="212" t="n"/>
      <c r="O1" s="212" t="n"/>
      <c r="P1" s="212" t="n"/>
      <c r="Q1" s="212" t="n"/>
      <c r="R1" s="212" t="n"/>
      <c r="S1" s="214" t="n"/>
    </row>
    <row r="2" ht="14.25" customHeight="1">
      <c r="A2" s="215" t="n"/>
      <c r="B2" s="20" t="inlineStr">
        <is>
          <t>ÁREA:</t>
        </is>
      </c>
      <c r="C2" s="164" t="inlineStr">
        <is>
          <t>PÁTIO D3</t>
        </is>
      </c>
      <c r="D2" s="205" t="n"/>
      <c r="E2" s="205" t="n"/>
      <c r="F2" s="205" t="n"/>
      <c r="G2" s="205" t="n"/>
      <c r="H2" s="205" t="n"/>
      <c r="I2" s="205" t="n"/>
      <c r="J2" s="205" t="n"/>
      <c r="K2" s="205" t="n"/>
      <c r="L2" s="205" t="n"/>
      <c r="M2" s="205" t="n"/>
      <c r="N2" s="205" t="n"/>
      <c r="O2" s="205" t="n"/>
      <c r="P2" s="205" t="n"/>
      <c r="Q2" s="205" t="n"/>
      <c r="R2" s="205" t="n"/>
      <c r="S2" s="216" t="n"/>
    </row>
    <row r="3" ht="14.25" customHeight="1">
      <c r="A3" s="215" t="n"/>
      <c r="B3" s="217" t="inlineStr">
        <is>
          <t>VÁLVULA ON OFF</t>
        </is>
      </c>
      <c r="C3" s="184" t="n"/>
      <c r="D3" s="184" t="n"/>
      <c r="E3" s="184" t="n"/>
      <c r="F3" s="184" t="n"/>
      <c r="G3" s="184" t="n"/>
      <c r="H3" s="184" t="n"/>
      <c r="I3" s="184" t="n"/>
      <c r="J3" s="184" t="n"/>
      <c r="K3" s="184" t="n"/>
      <c r="L3" s="184" t="n"/>
      <c r="M3" s="184" t="n"/>
      <c r="N3" s="184" t="n"/>
      <c r="O3" s="184" t="n"/>
      <c r="P3" s="184" t="n"/>
      <c r="Q3" s="184" t="n"/>
      <c r="R3" s="184" t="n"/>
      <c r="S3" s="185" t="n"/>
    </row>
    <row r="4" ht="14.25" customHeight="1" thickBot="1">
      <c r="A4" s="218" t="n"/>
      <c r="B4" s="219" t="n"/>
      <c r="C4" s="197" t="n"/>
      <c r="D4" s="197" t="n"/>
      <c r="E4" s="197" t="n"/>
      <c r="F4" s="197" t="n"/>
      <c r="G4" s="197" t="n"/>
      <c r="H4" s="197" t="n"/>
      <c r="I4" s="197" t="n"/>
      <c r="J4" s="197" t="n"/>
      <c r="K4" s="197" t="n"/>
      <c r="L4" s="197" t="n"/>
      <c r="M4" s="197" t="n"/>
      <c r="N4" s="197" t="n"/>
      <c r="O4" s="197" t="n"/>
      <c r="P4" s="197" t="n"/>
      <c r="Q4" s="197" t="n"/>
      <c r="R4" s="197" t="n"/>
      <c r="S4" s="199" t="n"/>
    </row>
    <row r="5" ht="13.8" customHeight="1" thickBot="1">
      <c r="A5" s="220" t="inlineStr">
        <is>
          <t>GERAL</t>
        </is>
      </c>
      <c r="B5" s="221" t="n"/>
      <c r="C5" s="221" t="n"/>
      <c r="D5" s="221" t="n"/>
      <c r="E5" s="221" t="n"/>
      <c r="F5" s="221" t="n"/>
      <c r="G5" s="222" t="n"/>
      <c r="H5" s="220" t="inlineStr">
        <is>
          <t>VÁLVULA SOLENÓIDE</t>
        </is>
      </c>
      <c r="I5" s="221" t="n"/>
      <c r="J5" s="221" t="n"/>
      <c r="K5" s="221" t="n"/>
      <c r="L5" s="221" t="n"/>
      <c r="M5" s="221" t="n"/>
      <c r="N5" s="221" t="n"/>
      <c r="O5" s="221" t="n"/>
      <c r="P5" s="221" t="n"/>
      <c r="Q5" s="221" t="n"/>
      <c r="R5" s="221" t="n"/>
      <c r="S5" s="222" t="n"/>
    </row>
    <row r="6">
      <c r="A6" s="17" t="inlineStr">
        <is>
          <t>TAG / Quantidade</t>
        </is>
      </c>
      <c r="B6" s="167" t="inlineStr">
        <is>
          <t>XV-1710.8</t>
        </is>
      </c>
      <c r="C6" s="181" t="n"/>
      <c r="D6" s="181" t="n"/>
      <c r="E6" s="181" t="n"/>
      <c r="F6" s="181" t="n"/>
      <c r="G6" s="181" t="n"/>
      <c r="H6" s="18" t="inlineStr">
        <is>
          <t>TAG</t>
        </is>
      </c>
      <c r="I6" s="212" t="n"/>
      <c r="J6" s="212" t="n"/>
      <c r="K6" s="212" t="n"/>
      <c r="L6" s="212" t="n"/>
      <c r="M6" s="213" t="n"/>
      <c r="N6" s="223" t="n"/>
      <c r="O6" s="173" t="n"/>
      <c r="P6" s="173" t="n"/>
      <c r="Q6" s="173" t="n"/>
      <c r="R6" s="173" t="n"/>
      <c r="S6" s="177" t="n"/>
    </row>
    <row r="7">
      <c r="A7" s="3" t="inlineStr">
        <is>
          <t>Função</t>
        </is>
      </c>
      <c r="B7" s="158" t="n"/>
      <c r="C7" s="205" t="n"/>
      <c r="D7" s="205" t="n"/>
      <c r="E7" s="205" t="n"/>
      <c r="F7" s="205" t="n"/>
      <c r="G7" s="205" t="n"/>
      <c r="H7" s="3" t="inlineStr">
        <is>
          <t>Tipo</t>
        </is>
      </c>
      <c r="I7" s="205" t="n"/>
      <c r="J7" s="205" t="n"/>
      <c r="K7" s="205" t="n"/>
      <c r="L7" s="205" t="n"/>
      <c r="M7" s="206" t="n"/>
      <c r="N7" s="224" t="n"/>
      <c r="O7" s="184" t="n"/>
      <c r="P7" s="184" t="n"/>
      <c r="Q7" s="184" t="n"/>
      <c r="R7" s="184" t="n"/>
      <c r="S7" s="185" t="n"/>
    </row>
    <row r="8">
      <c r="A8" s="4" t="inlineStr">
        <is>
          <t>Fluxograma</t>
        </is>
      </c>
      <c r="B8" s="158" t="inlineStr">
        <is>
          <t>PHS2-PR27-1701-FL.04 Rev. 00N</t>
        </is>
      </c>
      <c r="C8" s="205" t="n"/>
      <c r="D8" s="205" t="n"/>
      <c r="E8" s="205" t="n"/>
      <c r="F8" s="205" t="n"/>
      <c r="G8" s="205" t="n"/>
      <c r="H8" s="3" t="inlineStr">
        <is>
          <t>Número de vias/posições</t>
        </is>
      </c>
      <c r="I8" s="205" t="n"/>
      <c r="J8" s="205" t="n"/>
      <c r="K8" s="205" t="n"/>
      <c r="L8" s="205" t="n"/>
      <c r="M8" s="206" t="n"/>
      <c r="N8" s="224" t="n"/>
      <c r="O8" s="184" t="n"/>
      <c r="P8" s="184" t="n"/>
      <c r="Q8" s="184" t="n"/>
      <c r="R8" s="184" t="n"/>
      <c r="S8" s="185" t="n"/>
    </row>
    <row r="9">
      <c r="A9" s="3" t="inlineStr">
        <is>
          <t>Bitola da linha</t>
        </is>
      </c>
      <c r="B9" s="158" t="n"/>
      <c r="C9" s="205" t="n"/>
      <c r="D9" s="205" t="n"/>
      <c r="E9" s="205" t="n"/>
      <c r="F9" s="205" t="n"/>
      <c r="G9" s="205" t="n"/>
      <c r="H9" s="3" t="inlineStr">
        <is>
          <t>Material do corpo</t>
        </is>
      </c>
      <c r="I9" s="205" t="n"/>
      <c r="J9" s="205" t="n"/>
      <c r="K9" s="205" t="n"/>
      <c r="L9" s="205" t="n"/>
      <c r="M9" s="206" t="n"/>
      <c r="N9" s="224" t="n"/>
      <c r="O9" s="184" t="n"/>
      <c r="P9" s="184" t="n"/>
      <c r="Q9" s="184" t="n"/>
      <c r="R9" s="184" t="n"/>
      <c r="S9" s="185" t="n"/>
    </row>
    <row r="10">
      <c r="A10" s="3" t="inlineStr">
        <is>
          <t>Tipo do corpo</t>
        </is>
      </c>
      <c r="B10" s="158" t="inlineStr">
        <is>
          <t>GUILHOTINA AUTOMÁTICA</t>
        </is>
      </c>
      <c r="C10" s="205" t="n"/>
      <c r="D10" s="205" t="n"/>
      <c r="E10" s="205" t="n"/>
      <c r="F10" s="205" t="n"/>
      <c r="G10" s="205" t="n"/>
      <c r="H10" s="3" t="inlineStr">
        <is>
          <t>Classe da bobina</t>
        </is>
      </c>
      <c r="I10" s="205" t="n"/>
      <c r="J10" s="205" t="n"/>
      <c r="K10" s="205" t="n"/>
      <c r="L10" s="205" t="n"/>
      <c r="M10" s="206" t="n"/>
      <c r="N10" s="224" t="n"/>
      <c r="O10" s="184" t="n"/>
      <c r="P10" s="184" t="n"/>
      <c r="Q10" s="184" t="n"/>
      <c r="R10" s="184" t="n"/>
      <c r="S10" s="185" t="n"/>
    </row>
    <row r="11">
      <c r="A11" s="3" t="inlineStr">
        <is>
          <t>Material do corpo</t>
        </is>
      </c>
      <c r="B11" s="158" t="n"/>
      <c r="C11" s="205" t="n"/>
      <c r="D11" s="205" t="n"/>
      <c r="E11" s="205" t="n"/>
      <c r="F11" s="205" t="n"/>
      <c r="G11" s="205" t="n"/>
      <c r="H11" s="3" t="inlineStr">
        <is>
          <t>Número de bobinas</t>
        </is>
      </c>
      <c r="I11" s="205" t="n"/>
      <c r="J11" s="205" t="n"/>
      <c r="K11" s="205" t="n"/>
      <c r="L11" s="205" t="n"/>
      <c r="M11" s="206" t="n"/>
      <c r="N11" s="224" t="n"/>
      <c r="O11" s="184" t="n"/>
      <c r="P11" s="184" t="n"/>
      <c r="Q11" s="184" t="n"/>
      <c r="R11" s="184" t="n"/>
      <c r="S11" s="185" t="n"/>
    </row>
    <row r="12">
      <c r="A12" s="3" t="inlineStr">
        <is>
          <t>Diâmetro da válvula</t>
        </is>
      </c>
      <c r="B12" s="158" t="inlineStr">
        <is>
          <t>-</t>
        </is>
      </c>
      <c r="C12" s="205" t="n"/>
      <c r="D12" s="205" t="n"/>
      <c r="E12" s="205" t="n"/>
      <c r="F12" s="205" t="n"/>
      <c r="G12" s="205" t="n"/>
      <c r="H12" s="3" t="inlineStr">
        <is>
          <t>Conexão elétrica</t>
        </is>
      </c>
      <c r="I12" s="205" t="n"/>
      <c r="J12" s="205" t="n"/>
      <c r="K12" s="205" t="n"/>
      <c r="L12" s="205" t="n"/>
      <c r="M12" s="206" t="n"/>
      <c r="N12" s="224" t="n"/>
      <c r="O12" s="184" t="n"/>
      <c r="P12" s="184" t="n"/>
      <c r="Q12" s="184" t="n"/>
      <c r="R12" s="184" t="n"/>
      <c r="S12" s="185" t="n"/>
    </row>
    <row r="13">
      <c r="A13" s="3" t="inlineStr">
        <is>
          <t>Conexões e faceamento</t>
        </is>
      </c>
      <c r="B13" s="148" t="n"/>
      <c r="C13" s="205" t="n"/>
      <c r="D13" s="205" t="n"/>
      <c r="E13" s="205" t="n"/>
      <c r="F13" s="205" t="n"/>
      <c r="G13" s="205" t="n"/>
      <c r="H13" s="3" t="inlineStr">
        <is>
          <t>Conexão pneumática</t>
        </is>
      </c>
      <c r="I13" s="205" t="n"/>
      <c r="J13" s="205" t="n"/>
      <c r="K13" s="205" t="n"/>
      <c r="L13" s="205" t="n"/>
      <c r="M13" s="206" t="n"/>
      <c r="N13" s="224" t="n"/>
      <c r="O13" s="184" t="n"/>
      <c r="P13" s="184" t="n"/>
      <c r="Q13" s="184" t="n"/>
      <c r="R13" s="184" t="n"/>
      <c r="S13" s="185" t="n"/>
    </row>
    <row r="14">
      <c r="A14" s="3" t="inlineStr">
        <is>
          <t>Castelo</t>
        </is>
      </c>
      <c r="B14" s="148" t="n"/>
      <c r="C14" s="205" t="n"/>
      <c r="D14" s="205" t="n"/>
      <c r="E14" s="205" t="n"/>
      <c r="F14" s="205" t="n"/>
      <c r="G14" s="205" t="n"/>
      <c r="H14" s="3" t="inlineStr">
        <is>
          <t>Classificação da área</t>
        </is>
      </c>
      <c r="I14" s="205" t="n"/>
      <c r="J14" s="205" t="n"/>
      <c r="K14" s="205" t="n"/>
      <c r="L14" s="205" t="n"/>
      <c r="M14" s="206" t="n"/>
      <c r="N14" s="224" t="n"/>
      <c r="O14" s="184" t="n"/>
      <c r="P14" s="184" t="n"/>
      <c r="Q14" s="184" t="n"/>
      <c r="R14" s="184" t="n"/>
      <c r="S14" s="185" t="n"/>
    </row>
    <row r="15" ht="13.8" customHeight="1" thickBot="1">
      <c r="A15" s="16" t="inlineStr">
        <is>
          <t>Classe de vedação</t>
        </is>
      </c>
      <c r="B15" s="150" t="n"/>
      <c r="C15" s="184" t="n"/>
      <c r="D15" s="184" t="n"/>
      <c r="E15" s="184" t="n"/>
      <c r="F15" s="184" t="n"/>
      <c r="G15" s="184" t="n"/>
      <c r="H15" s="6" t="inlineStr">
        <is>
          <t>Classificação do invólucro</t>
        </is>
      </c>
      <c r="I15" s="208" t="n"/>
      <c r="J15" s="208" t="n"/>
      <c r="K15" s="208" t="n"/>
      <c r="L15" s="208" t="n"/>
      <c r="M15" s="209" t="n"/>
      <c r="N15" s="225" t="n"/>
      <c r="O15" s="208" t="n"/>
      <c r="P15" s="208" t="n"/>
      <c r="Q15" s="208" t="n"/>
      <c r="R15" s="208" t="n"/>
      <c r="S15" s="226" t="n"/>
    </row>
    <row r="16" ht="13.8" customHeight="1" thickBot="1">
      <c r="A16" s="220" t="inlineStr">
        <is>
          <t>INTERNOS</t>
        </is>
      </c>
      <c r="B16" s="221" t="n"/>
      <c r="C16" s="221" t="n"/>
      <c r="D16" s="221" t="n"/>
      <c r="E16" s="221" t="n"/>
      <c r="F16" s="221" t="n"/>
      <c r="G16" s="222" t="n"/>
      <c r="H16" s="220" t="inlineStr">
        <is>
          <t>FINS DE CURSO</t>
        </is>
      </c>
      <c r="I16" s="221" t="n"/>
      <c r="J16" s="221" t="n"/>
      <c r="K16" s="221" t="n"/>
      <c r="L16" s="221" t="n"/>
      <c r="M16" s="221" t="n"/>
      <c r="N16" s="221" t="n"/>
      <c r="O16" s="221" t="n"/>
      <c r="P16" s="221" t="n"/>
      <c r="Q16" s="221" t="n"/>
      <c r="R16" s="221" t="n"/>
      <c r="S16" s="222" t="n"/>
      <c r="X16" s="69" t="n"/>
      <c r="Y16" s="69" t="n"/>
      <c r="Z16" s="69" t="n"/>
    </row>
    <row r="17">
      <c r="A17" s="18" t="inlineStr">
        <is>
          <t>Material das gaxetas</t>
        </is>
      </c>
      <c r="B17" s="227" t="n"/>
      <c r="C17" s="212" t="n"/>
      <c r="D17" s="212" t="n"/>
      <c r="E17" s="212" t="n"/>
      <c r="F17" s="212" t="n"/>
      <c r="G17" s="214" t="n"/>
      <c r="H17" s="146" t="inlineStr">
        <is>
          <t>TAG</t>
        </is>
      </c>
      <c r="I17" s="181" t="n"/>
      <c r="J17" s="181" t="n"/>
      <c r="K17" s="181" t="n"/>
      <c r="L17" s="181" t="n"/>
      <c r="M17" s="202" t="n"/>
      <c r="N17" s="228" t="n"/>
      <c r="S17" s="192" t="n"/>
      <c r="X17" s="69" t="n"/>
      <c r="Z17" s="69" t="n"/>
    </row>
    <row r="18">
      <c r="A18" s="3" t="inlineStr">
        <is>
          <t>Sede</t>
        </is>
      </c>
      <c r="B18" s="229" t="n"/>
      <c r="C18" s="205" t="n"/>
      <c r="D18" s="205" t="n"/>
      <c r="E18" s="205" t="n"/>
      <c r="F18" s="205" t="n"/>
      <c r="G18" s="216" t="n"/>
      <c r="H18" s="130" t="inlineStr">
        <is>
          <t>Tipo</t>
        </is>
      </c>
      <c r="I18" s="205" t="n"/>
      <c r="J18" s="205" t="n"/>
      <c r="K18" s="205" t="n"/>
      <c r="L18" s="205" t="n"/>
      <c r="M18" s="206" t="n"/>
      <c r="N18" s="224" t="n"/>
      <c r="O18" s="184" t="n"/>
      <c r="P18" s="184" t="n"/>
      <c r="Q18" s="184" t="n"/>
      <c r="R18" s="184" t="n"/>
      <c r="S18" s="185" t="n"/>
      <c r="X18" s="69" t="n"/>
      <c r="Z18" s="69" t="n"/>
    </row>
    <row r="19">
      <c r="A19" s="5" t="inlineStr">
        <is>
          <t>Material do disco</t>
        </is>
      </c>
      <c r="B19" s="229" t="n"/>
      <c r="C19" s="205" t="n"/>
      <c r="D19" s="205" t="n"/>
      <c r="E19" s="205" t="n"/>
      <c r="F19" s="205" t="n"/>
      <c r="G19" s="216" t="n"/>
      <c r="H19" s="130" t="inlineStr">
        <is>
          <t>Quantidade</t>
        </is>
      </c>
      <c r="I19" s="205" t="n"/>
      <c r="J19" s="205" t="n"/>
      <c r="K19" s="205" t="n"/>
      <c r="L19" s="205" t="n"/>
      <c r="M19" s="206" t="n"/>
      <c r="N19" s="224" t="n"/>
      <c r="O19" s="184" t="n"/>
      <c r="P19" s="184" t="n"/>
      <c r="Q19" s="184" t="n"/>
      <c r="R19" s="184" t="n"/>
      <c r="S19" s="185" t="n"/>
      <c r="X19" s="69" t="n"/>
      <c r="Z19" s="69" t="n"/>
    </row>
    <row r="20">
      <c r="A20" s="5" t="inlineStr">
        <is>
          <t>Material da haste</t>
        </is>
      </c>
      <c r="B20" s="229" t="n"/>
      <c r="C20" s="205" t="n"/>
      <c r="D20" s="205" t="n"/>
      <c r="E20" s="205" t="n"/>
      <c r="F20" s="205" t="n"/>
      <c r="G20" s="216" t="n"/>
      <c r="H20" s="130" t="inlineStr">
        <is>
          <t>Tipo dos contatos</t>
        </is>
      </c>
      <c r="I20" s="205" t="n"/>
      <c r="J20" s="205" t="n"/>
      <c r="K20" s="205" t="n"/>
      <c r="L20" s="205" t="n"/>
      <c r="M20" s="206" t="n"/>
      <c r="N20" s="224" t="n"/>
      <c r="O20" s="184" t="n"/>
      <c r="P20" s="184" t="n"/>
      <c r="Q20" s="184" t="n"/>
      <c r="R20" s="184" t="n"/>
      <c r="S20" s="185" t="n"/>
      <c r="X20" s="69" t="n"/>
      <c r="Z20" s="69" t="n"/>
    </row>
    <row r="21">
      <c r="A21" s="3" t="inlineStr">
        <is>
          <t>Obturador balanceado</t>
        </is>
      </c>
      <c r="B21" s="229" t="n"/>
      <c r="C21" s="205" t="n"/>
      <c r="D21" s="205" t="n"/>
      <c r="E21" s="205" t="n"/>
      <c r="F21" s="205" t="n"/>
      <c r="G21" s="216" t="n"/>
      <c r="H21" s="130" t="inlineStr">
        <is>
          <t>Conexão elétrica</t>
        </is>
      </c>
      <c r="I21" s="205" t="n"/>
      <c r="J21" s="205" t="n"/>
      <c r="K21" s="205" t="n"/>
      <c r="L21" s="205" t="n"/>
      <c r="M21" s="206" t="n"/>
      <c r="N21" s="224" t="n"/>
      <c r="O21" s="184" t="n"/>
      <c r="P21" s="184" t="n"/>
      <c r="Q21" s="184" t="n"/>
      <c r="R21" s="184" t="n"/>
      <c r="S21" s="185" t="n"/>
      <c r="X21" s="69" t="n"/>
      <c r="Z21" s="69" t="n"/>
    </row>
    <row r="22">
      <c r="A22" s="3" t="inlineStr">
        <is>
          <t>Direção do fluxo</t>
        </is>
      </c>
      <c r="B22" s="229" t="n"/>
      <c r="C22" s="205" t="n"/>
      <c r="D22" s="205" t="n"/>
      <c r="E22" s="205" t="n"/>
      <c r="F22" s="205" t="n"/>
      <c r="G22" s="216" t="n"/>
      <c r="H22" s="130" t="inlineStr">
        <is>
          <t>Classificação de área</t>
        </is>
      </c>
      <c r="I22" s="205" t="n"/>
      <c r="J22" s="205" t="n"/>
      <c r="K22" s="205" t="n"/>
      <c r="L22" s="205" t="n"/>
      <c r="M22" s="206" t="n"/>
      <c r="N22" s="224" t="n"/>
      <c r="O22" s="184" t="n"/>
      <c r="P22" s="184" t="n"/>
      <c r="Q22" s="184" t="n"/>
      <c r="R22" s="184" t="n"/>
      <c r="S22" s="185" t="n"/>
      <c r="X22" s="69" t="n"/>
      <c r="Z22" s="69" t="n"/>
    </row>
    <row r="23" ht="13.8" customHeight="1" thickBot="1">
      <c r="A23" s="6" t="inlineStr">
        <is>
          <t>Guias</t>
        </is>
      </c>
      <c r="B23" s="230" t="n"/>
      <c r="C23" s="208" t="n"/>
      <c r="D23" s="208" t="n"/>
      <c r="E23" s="208" t="n"/>
      <c r="F23" s="208" t="n"/>
      <c r="G23" s="226" t="n"/>
      <c r="H23" s="147" t="inlineStr">
        <is>
          <t>Classificação do invólucro</t>
        </is>
      </c>
      <c r="I23" s="184" t="n"/>
      <c r="J23" s="184" t="n"/>
      <c r="K23" s="184" t="n"/>
      <c r="L23" s="184" t="n"/>
      <c r="M23" s="231" t="n"/>
      <c r="N23" s="224" t="n"/>
      <c r="O23" s="184" t="n"/>
      <c r="P23" s="184" t="n"/>
      <c r="Q23" s="184" t="n"/>
      <c r="R23" s="184" t="n"/>
      <c r="S23" s="185" t="n"/>
      <c r="X23" s="69" t="n"/>
      <c r="Z23" s="69" t="n"/>
    </row>
    <row r="24" ht="13.8" customHeight="1" thickBot="1">
      <c r="A24" s="220" t="inlineStr">
        <is>
          <t>ATUADOR</t>
        </is>
      </c>
      <c r="B24" s="221" t="n"/>
      <c r="C24" s="221" t="n"/>
      <c r="D24" s="221" t="n"/>
      <c r="E24" s="221" t="n"/>
      <c r="F24" s="221" t="n"/>
      <c r="G24" s="222" t="n"/>
      <c r="H24" s="220" t="inlineStr">
        <is>
          <t>DADOS DE PROCESSO</t>
        </is>
      </c>
      <c r="I24" s="221" t="n"/>
      <c r="J24" s="221" t="n"/>
      <c r="K24" s="221" t="n"/>
      <c r="L24" s="221" t="n"/>
      <c r="M24" s="221" t="n"/>
      <c r="N24" s="221" t="n"/>
      <c r="O24" s="221" t="n"/>
      <c r="P24" s="221" t="n"/>
      <c r="Q24" s="221" t="n"/>
      <c r="R24" s="221" t="n"/>
      <c r="S24" s="222" t="n"/>
    </row>
    <row r="25">
      <c r="A25" s="17" t="inlineStr">
        <is>
          <t>Tipo</t>
        </is>
      </c>
      <c r="B25" s="152" t="n"/>
      <c r="C25" s="181" t="n"/>
      <c r="D25" s="181" t="n"/>
      <c r="E25" s="181" t="n"/>
      <c r="F25" s="181" t="n"/>
      <c r="G25" s="181" t="n"/>
      <c r="H25" s="18" t="inlineStr">
        <is>
          <t>Fluido</t>
        </is>
      </c>
      <c r="I25" s="212" t="n"/>
      <c r="J25" s="212" t="n"/>
      <c r="K25" s="212" t="n"/>
      <c r="L25" s="212" t="n"/>
      <c r="M25" s="213" t="n"/>
      <c r="N25" s="232" t="inlineStr">
        <is>
          <t>AR + VAPOR DA FASE LÍQUIDA DE REAÇÃO (NOTA 1)</t>
        </is>
      </c>
      <c r="O25" s="173" t="n"/>
      <c r="P25" s="173" t="n"/>
      <c r="Q25" s="173" t="n"/>
      <c r="R25" s="173" t="n"/>
      <c r="S25" s="177" t="n"/>
    </row>
    <row r="26">
      <c r="A26" s="3" t="inlineStr">
        <is>
          <t>Range</t>
        </is>
      </c>
      <c r="B26" s="148" t="n"/>
      <c r="C26" s="205" t="n"/>
      <c r="D26" s="205" t="n"/>
      <c r="E26" s="205" t="n"/>
      <c r="F26" s="205" t="n"/>
      <c r="G26" s="205" t="n"/>
      <c r="H26" s="3" t="inlineStr">
        <is>
          <t>Estado físico</t>
        </is>
      </c>
      <c r="I26" s="205" t="n"/>
      <c r="J26" s="205" t="n"/>
      <c r="K26" s="205" t="n"/>
      <c r="L26" s="205" t="n"/>
      <c r="M26" s="206" t="n"/>
      <c r="N26" s="233" t="n"/>
      <c r="O26" s="184" t="n"/>
      <c r="P26" s="184" t="n"/>
      <c r="Q26" s="184" t="n"/>
      <c r="R26" s="184" t="n"/>
      <c r="S26" s="185" t="n"/>
    </row>
    <row r="27">
      <c r="A27" s="3" t="inlineStr">
        <is>
          <t>Volante</t>
        </is>
      </c>
      <c r="B27" s="148" t="n"/>
      <c r="C27" s="205" t="n"/>
      <c r="D27" s="205" t="n"/>
      <c r="E27" s="205" t="n"/>
      <c r="F27" s="205" t="n"/>
      <c r="G27" s="205" t="n"/>
      <c r="H27" s="3" t="inlineStr">
        <is>
          <t>Pressão de entrada</t>
        </is>
      </c>
      <c r="I27" s="205" t="n"/>
      <c r="J27" s="205" t="n"/>
      <c r="K27" s="205" t="n"/>
      <c r="L27" s="205" t="n"/>
      <c r="M27" s="206" t="n"/>
      <c r="N27" s="233" t="inlineStr">
        <is>
          <t>-</t>
        </is>
      </c>
      <c r="O27" s="184" t="n"/>
      <c r="P27" s="184" t="n"/>
      <c r="Q27" s="184" t="n"/>
      <c r="R27" s="184" t="n"/>
      <c r="S27" s="185" t="n"/>
    </row>
    <row r="28">
      <c r="A28" s="3" t="inlineStr">
        <is>
          <t>Ação em caso de falha</t>
        </is>
      </c>
      <c r="B28" s="148" t="n"/>
      <c r="C28" s="205" t="n"/>
      <c r="D28" s="205" t="n"/>
      <c r="E28" s="205" t="n"/>
      <c r="F28" s="205" t="n"/>
      <c r="G28" s="205" t="n"/>
      <c r="H28" s="3" t="inlineStr">
        <is>
          <t>Pressão de saída</t>
        </is>
      </c>
      <c r="I28" s="205" t="n"/>
      <c r="J28" s="205" t="n"/>
      <c r="K28" s="205" t="n"/>
      <c r="L28" s="205" t="n"/>
      <c r="M28" s="206" t="n"/>
      <c r="N28" s="233" t="n"/>
      <c r="O28" s="184" t="n"/>
      <c r="P28" s="184" t="n"/>
      <c r="Q28" s="184" t="n"/>
      <c r="R28" s="184" t="n"/>
      <c r="S28" s="185" t="n"/>
    </row>
    <row r="29" ht="13.8" customHeight="1" thickBot="1">
      <c r="A29" s="16" t="inlineStr">
        <is>
          <t>Pressão suprimento de ar (min/max)</t>
        </is>
      </c>
      <c r="B29" s="150" t="n"/>
      <c r="C29" s="184" t="n"/>
      <c r="D29" s="184" t="n"/>
      <c r="E29" s="184" t="n"/>
      <c r="F29" s="184" t="n"/>
      <c r="G29" s="184" t="n"/>
      <c r="H29" s="3" t="inlineStr">
        <is>
          <t>Viscosidade</t>
        </is>
      </c>
      <c r="I29" s="205" t="n"/>
      <c r="J29" s="205" t="n"/>
      <c r="K29" s="205" t="n"/>
      <c r="L29" s="205" t="n"/>
      <c r="M29" s="206" t="n"/>
      <c r="N29" s="233" t="inlineStr">
        <is>
          <t>0,0186 cP</t>
        </is>
      </c>
      <c r="O29" s="184" t="n"/>
      <c r="P29" s="184" t="n"/>
      <c r="Q29" s="184" t="n"/>
      <c r="R29" s="184" t="n"/>
      <c r="S29" s="185" t="n"/>
    </row>
    <row r="30" ht="13.8" customHeight="1" thickBot="1">
      <c r="A30" s="142" t="inlineStr">
        <is>
          <t>POSICIONADOR</t>
        </is>
      </c>
      <c r="B30" s="221" t="n"/>
      <c r="C30" s="221" t="n"/>
      <c r="D30" s="221" t="n"/>
      <c r="E30" s="221" t="n"/>
      <c r="F30" s="221" t="n"/>
      <c r="G30" s="221" t="n"/>
      <c r="H30" s="3" t="inlineStr">
        <is>
          <t>Vazão normal</t>
        </is>
      </c>
      <c r="I30" s="205" t="n"/>
      <c r="J30" s="205" t="n"/>
      <c r="K30" s="205" t="n"/>
      <c r="L30" s="205" t="n"/>
      <c r="M30" s="206" t="n"/>
      <c r="N30" s="233" t="n"/>
      <c r="O30" s="184" t="n"/>
      <c r="P30" s="184" t="n"/>
      <c r="Q30" s="184" t="n"/>
      <c r="R30" s="184" t="n"/>
      <c r="S30" s="185" t="n"/>
    </row>
    <row r="31">
      <c r="A31" s="17" t="inlineStr">
        <is>
          <t>Tipo</t>
        </is>
      </c>
      <c r="B31" s="152" t="n"/>
      <c r="C31" s="181" t="n"/>
      <c r="D31" s="181" t="n"/>
      <c r="E31" s="181" t="n"/>
      <c r="F31" s="181" t="n"/>
      <c r="G31" s="181" t="n"/>
      <c r="H31" s="3" t="inlineStr">
        <is>
          <t>Vazão máxima</t>
        </is>
      </c>
      <c r="I31" s="205" t="n"/>
      <c r="J31" s="205" t="n"/>
      <c r="K31" s="205" t="n"/>
      <c r="L31" s="205" t="n"/>
      <c r="M31" s="206" t="n"/>
      <c r="N31" s="233" t="n"/>
      <c r="O31" s="184" t="n"/>
      <c r="P31" s="184" t="n"/>
      <c r="Q31" s="184" t="n"/>
      <c r="R31" s="184" t="n"/>
      <c r="S31" s="185" t="n"/>
    </row>
    <row r="32">
      <c r="A32" s="3" t="inlineStr">
        <is>
          <t>By-pass</t>
        </is>
      </c>
      <c r="B32" s="148" t="n"/>
      <c r="C32" s="205" t="n"/>
      <c r="D32" s="205" t="n"/>
      <c r="E32" s="205" t="n"/>
      <c r="F32" s="205" t="n"/>
      <c r="G32" s="205" t="n"/>
      <c r="H32" s="3" t="inlineStr">
        <is>
          <t>Vazão mínima</t>
        </is>
      </c>
      <c r="I32" s="205" t="n"/>
      <c r="J32" s="205" t="n"/>
      <c r="K32" s="205" t="n"/>
      <c r="L32" s="205" t="n"/>
      <c r="M32" s="206" t="n"/>
      <c r="N32" s="233" t="n"/>
      <c r="O32" s="184" t="n"/>
      <c r="P32" s="184" t="n"/>
      <c r="Q32" s="184" t="n"/>
      <c r="R32" s="184" t="n"/>
      <c r="S32" s="185" t="n"/>
    </row>
    <row r="33">
      <c r="A33" s="3" t="inlineStr">
        <is>
          <t>Manômetros quantidade</t>
        </is>
      </c>
      <c r="B33" s="148" t="n"/>
      <c r="C33" s="205" t="n"/>
      <c r="D33" s="205" t="n"/>
      <c r="E33" s="205" t="n"/>
      <c r="F33" s="205" t="n"/>
      <c r="G33" s="205" t="n"/>
      <c r="H33" s="3" t="inlineStr">
        <is>
          <t>Pressão shut off</t>
        </is>
      </c>
      <c r="I33" s="205" t="n"/>
      <c r="J33" s="205" t="n"/>
      <c r="K33" s="205" t="n"/>
      <c r="L33" s="205" t="n"/>
      <c r="M33" s="206" t="n"/>
      <c r="N33" s="233" t="n"/>
      <c r="O33" s="184" t="n"/>
      <c r="P33" s="184" t="n"/>
      <c r="Q33" s="184" t="n"/>
      <c r="R33" s="184" t="n"/>
      <c r="S33" s="185" t="n"/>
    </row>
    <row r="34">
      <c r="A34" s="3" t="inlineStr">
        <is>
          <t>Sinal de entrada</t>
        </is>
      </c>
      <c r="B34" s="148" t="n"/>
      <c r="C34" s="205" t="n"/>
      <c r="D34" s="205" t="n"/>
      <c r="E34" s="205" t="n"/>
      <c r="F34" s="205" t="n"/>
      <c r="G34" s="205" t="n"/>
      <c r="H34" s="3" t="inlineStr">
        <is>
          <t>Temperatura máxima</t>
        </is>
      </c>
      <c r="I34" s="205" t="n"/>
      <c r="J34" s="205" t="n"/>
      <c r="K34" s="205" t="n"/>
      <c r="L34" s="205" t="n"/>
      <c r="M34" s="206" t="n"/>
      <c r="N34" s="233" t="inlineStr">
        <is>
          <t>35</t>
        </is>
      </c>
      <c r="O34" s="184" t="n"/>
      <c r="P34" s="184" t="n"/>
      <c r="Q34" s="184" t="n"/>
      <c r="R34" s="184" t="n"/>
      <c r="S34" s="185" t="n"/>
    </row>
    <row r="35">
      <c r="A35" s="3" t="inlineStr">
        <is>
          <t>Sial de saída</t>
        </is>
      </c>
      <c r="B35" s="148" t="n"/>
      <c r="C35" s="205" t="n"/>
      <c r="D35" s="205" t="n"/>
      <c r="E35" s="205" t="n"/>
      <c r="F35" s="205" t="n"/>
      <c r="G35" s="205" t="n"/>
      <c r="H35" s="3" t="inlineStr">
        <is>
          <t>Temperatura normal</t>
        </is>
      </c>
      <c r="I35" s="205" t="n"/>
      <c r="J35" s="205" t="n"/>
      <c r="K35" s="205" t="n"/>
      <c r="L35" s="205" t="n"/>
      <c r="M35" s="206" t="n"/>
      <c r="N35" s="233" t="n"/>
      <c r="O35" s="184" t="n"/>
      <c r="P35" s="184" t="n"/>
      <c r="Q35" s="184" t="n"/>
      <c r="R35" s="184" t="n"/>
      <c r="S35" s="185" t="n"/>
    </row>
    <row r="36">
      <c r="A36" s="3" t="inlineStr">
        <is>
          <t>Característica do came</t>
        </is>
      </c>
      <c r="B36" s="148" t="n"/>
      <c r="C36" s="205" t="n"/>
      <c r="D36" s="205" t="n"/>
      <c r="E36" s="205" t="n"/>
      <c r="F36" s="205" t="n"/>
      <c r="G36" s="205" t="n"/>
      <c r="H36" s="3" t="inlineStr">
        <is>
          <t>Massa específica</t>
        </is>
      </c>
      <c r="I36" s="205" t="n"/>
      <c r="J36" s="205" t="n"/>
      <c r="K36" s="205" t="n"/>
      <c r="L36" s="205" t="n"/>
      <c r="M36" s="206" t="n"/>
      <c r="N36" s="233" t="inlineStr">
        <is>
          <t>1,5 kg/m3</t>
        </is>
      </c>
      <c r="O36" s="184" t="n"/>
      <c r="P36" s="184" t="n"/>
      <c r="Q36" s="184" t="n"/>
      <c r="R36" s="184" t="n"/>
      <c r="S36" s="185" t="n"/>
    </row>
    <row r="37" ht="13.8" customHeight="1" thickBot="1">
      <c r="A37" s="16" t="inlineStr">
        <is>
          <t>Alimentação de ar</t>
        </is>
      </c>
      <c r="B37" s="150" t="n"/>
      <c r="C37" s="184" t="n"/>
      <c r="D37" s="184" t="n"/>
      <c r="E37" s="184" t="n"/>
      <c r="F37" s="184" t="n"/>
      <c r="G37" s="184" t="n"/>
      <c r="H37" s="3" t="inlineStr">
        <is>
          <t>Cv calculado (máximo) / % abertura</t>
        </is>
      </c>
      <c r="I37" s="205" t="n"/>
      <c r="J37" s="205" t="n"/>
      <c r="K37" s="205" t="n"/>
      <c r="L37" s="205" t="n"/>
      <c r="M37" s="206" t="n"/>
      <c r="N37" s="224" t="n"/>
      <c r="O37" s="184" t="n"/>
      <c r="P37" s="184" t="n"/>
      <c r="Q37" s="184" t="n"/>
      <c r="R37" s="184" t="n"/>
      <c r="S37" s="185" t="n"/>
    </row>
    <row r="38" ht="13.8" customHeight="1" thickBot="1">
      <c r="A38" s="142" t="inlineStr">
        <is>
          <t>ACESSÓRIOS</t>
        </is>
      </c>
      <c r="B38" s="221" t="n"/>
      <c r="C38" s="221" t="n"/>
      <c r="D38" s="221" t="n"/>
      <c r="E38" s="221" t="n"/>
      <c r="F38" s="221" t="n"/>
      <c r="G38" s="221" t="n"/>
      <c r="H38" s="3" t="inlineStr">
        <is>
          <t>Cv calculado (normal) / % abertura</t>
        </is>
      </c>
      <c r="I38" s="205" t="n"/>
      <c r="J38" s="205" t="n"/>
      <c r="K38" s="205" t="n"/>
      <c r="L38" s="205" t="n"/>
      <c r="M38" s="206" t="n"/>
      <c r="N38" s="224" t="n"/>
      <c r="O38" s="184" t="n"/>
      <c r="P38" s="184" t="n"/>
      <c r="Q38" s="184" t="n"/>
      <c r="R38" s="184" t="n"/>
      <c r="S38" s="185" t="n"/>
    </row>
    <row r="39">
      <c r="A39" s="17" t="inlineStr">
        <is>
          <t>Filtro / Filtro regulador</t>
        </is>
      </c>
      <c r="B39" s="152" t="n"/>
      <c r="C39" s="181" t="n"/>
      <c r="D39" s="181" t="n"/>
      <c r="E39" s="181" t="n"/>
      <c r="F39" s="181" t="n"/>
      <c r="G39" s="181" t="n"/>
      <c r="H39" s="3" t="inlineStr">
        <is>
          <t>Cv calculado (mínimo) / % abertura</t>
        </is>
      </c>
      <c r="I39" s="205" t="n"/>
      <c r="J39" s="205" t="n"/>
      <c r="K39" s="205" t="n"/>
      <c r="L39" s="205" t="n"/>
      <c r="M39" s="206" t="n"/>
      <c r="N39" s="224" t="n"/>
      <c r="O39" s="184" t="n"/>
      <c r="P39" s="184" t="n"/>
      <c r="Q39" s="184" t="n"/>
      <c r="R39" s="184" t="n"/>
      <c r="S39" s="185" t="n"/>
    </row>
    <row r="40">
      <c r="A40" s="3" t="inlineStr">
        <is>
          <t>Manômetro para o regulador</t>
        </is>
      </c>
      <c r="B40" s="148" t="n"/>
      <c r="C40" s="205" t="n"/>
      <c r="D40" s="205" t="n"/>
      <c r="E40" s="205" t="n"/>
      <c r="F40" s="205" t="n"/>
      <c r="G40" s="205" t="n"/>
      <c r="H40" s="3" t="inlineStr">
        <is>
          <t>Cv selecionado</t>
        </is>
      </c>
      <c r="I40" s="205" t="n"/>
      <c r="J40" s="205" t="n"/>
      <c r="K40" s="205" t="n"/>
      <c r="L40" s="205" t="n"/>
      <c r="M40" s="206" t="n"/>
      <c r="N40" s="224" t="n"/>
      <c r="O40" s="184" t="n"/>
      <c r="P40" s="184" t="n"/>
      <c r="Q40" s="184" t="n"/>
      <c r="R40" s="184" t="n"/>
      <c r="S40" s="185" t="n"/>
    </row>
    <row r="41" ht="13.8" customHeight="1" thickBot="1">
      <c r="A41" s="6" t="inlineStr">
        <is>
          <t>Posição do volante</t>
        </is>
      </c>
      <c r="B41" s="154" t="n"/>
      <c r="C41" s="208" t="n"/>
      <c r="D41" s="208" t="n"/>
      <c r="E41" s="208" t="n"/>
      <c r="F41" s="208" t="n"/>
      <c r="G41" s="208" t="n"/>
      <c r="H41" s="6" t="inlineStr">
        <is>
          <t>Nível de ruído</t>
        </is>
      </c>
      <c r="I41" s="208" t="n"/>
      <c r="J41" s="208" t="n"/>
      <c r="K41" s="208" t="n"/>
      <c r="L41" s="208" t="n"/>
      <c r="M41" s="209" t="n"/>
      <c r="N41" s="225" t="n"/>
      <c r="O41" s="208" t="n"/>
      <c r="P41" s="208" t="n"/>
      <c r="Q41" s="208" t="n"/>
      <c r="R41" s="208" t="n"/>
      <c r="S41" s="226" t="n"/>
    </row>
    <row r="42">
      <c r="A42" s="234" t="inlineStr">
        <is>
          <t>Notas:</t>
        </is>
      </c>
      <c r="B42" s="173" t="n"/>
      <c r="C42" s="173" t="n"/>
      <c r="D42" s="173" t="n"/>
      <c r="E42" s="173" t="n"/>
      <c r="F42" s="173" t="n"/>
      <c r="G42" s="173" t="n"/>
      <c r="H42" s="173" t="n"/>
      <c r="I42" s="173" t="n"/>
      <c r="J42" s="173" t="n"/>
      <c r="K42" s="173" t="n"/>
      <c r="L42" s="173" t="n"/>
      <c r="M42" s="173" t="n"/>
      <c r="N42" s="173" t="n"/>
      <c r="O42" s="173" t="n"/>
      <c r="P42" s="173" t="n"/>
      <c r="Q42" s="173" t="n"/>
      <c r="R42" s="173" t="n"/>
      <c r="S42" s="177" t="n"/>
    </row>
    <row r="43" ht="13.8" customHeight="1" thickBot="1">
      <c r="A43" s="235" t="inlineStr">
        <is>
          <t>(NOTA 1): CRESTIVO (A16003E); BIRK 25% (A25191A); BIRTEA; CRESTIVO DUO</t>
        </is>
      </c>
      <c r="B43" s="197" t="n"/>
      <c r="C43" s="197" t="n"/>
      <c r="D43" s="197" t="n"/>
      <c r="E43" s="197" t="n"/>
      <c r="F43" s="197" t="n"/>
      <c r="G43" s="197" t="n"/>
      <c r="H43" s="197" t="n"/>
      <c r="I43" s="197" t="n"/>
      <c r="J43" s="197" t="n"/>
      <c r="K43" s="197" t="n"/>
      <c r="L43" s="197" t="n"/>
      <c r="M43" s="197" t="n"/>
      <c r="N43" s="197" t="n"/>
      <c r="O43" s="197" t="n"/>
      <c r="P43" s="197" t="n"/>
      <c r="Q43" s="197" t="n"/>
      <c r="R43" s="197" t="n"/>
      <c r="S43" s="199" t="n"/>
    </row>
    <row r="44">
      <c r="A44" s="7" t="n"/>
    </row>
    <row r="45">
      <c r="A45" s="2" t="n"/>
    </row>
    <row r="46">
      <c r="A46" s="2" t="n"/>
    </row>
    <row r="47">
      <c r="A47" s="2" t="n"/>
    </row>
    <row r="48">
      <c r="A48" s="2" t="n"/>
    </row>
    <row r="49">
      <c r="A49" s="2" t="n"/>
    </row>
    <row r="50">
      <c r="A50" s="2" t="n"/>
    </row>
    <row r="51">
      <c r="A51" s="2" t="n"/>
    </row>
    <row r="52">
      <c r="A52" s="2" t="n"/>
    </row>
    <row r="53">
      <c r="A53" s="2" t="n"/>
    </row>
    <row r="54">
      <c r="A54" s="2" t="n"/>
    </row>
  </sheetData>
  <mergeCells count="116">
    <mergeCell ref="H21:M21"/>
    <mergeCell ref="N23:S23"/>
    <mergeCell ref="B8:G8"/>
    <mergeCell ref="N18:S18"/>
    <mergeCell ref="A1:A4"/>
    <mergeCell ref="N8:S8"/>
    <mergeCell ref="H7:M7"/>
    <mergeCell ref="B10:G10"/>
    <mergeCell ref="N10:S10"/>
    <mergeCell ref="A30:G30"/>
    <mergeCell ref="H27:M27"/>
    <mergeCell ref="N34:S34"/>
    <mergeCell ref="H33:M33"/>
    <mergeCell ref="B36:G36"/>
    <mergeCell ref="N27:S27"/>
    <mergeCell ref="H5:S5"/>
    <mergeCell ref="N36:S36"/>
    <mergeCell ref="H35:M35"/>
    <mergeCell ref="N11:S11"/>
    <mergeCell ref="N20:S20"/>
    <mergeCell ref="B22:G22"/>
    <mergeCell ref="B31:G31"/>
    <mergeCell ref="N22:S22"/>
    <mergeCell ref="H9:M9"/>
    <mergeCell ref="B12:G12"/>
    <mergeCell ref="H39:M39"/>
    <mergeCell ref="B21:G21"/>
    <mergeCell ref="B39:G39"/>
    <mergeCell ref="N12:S12"/>
    <mergeCell ref="N21:S21"/>
    <mergeCell ref="B14:G14"/>
    <mergeCell ref="B23:G23"/>
    <mergeCell ref="N14:S14"/>
    <mergeCell ref="B13:G13"/>
    <mergeCell ref="A43:S43"/>
    <mergeCell ref="N38:S38"/>
    <mergeCell ref="H16:S16"/>
    <mergeCell ref="H32:M32"/>
    <mergeCell ref="H13:M13"/>
    <mergeCell ref="N40:S40"/>
    <mergeCell ref="B33:G33"/>
    <mergeCell ref="H15:M15"/>
    <mergeCell ref="H18:M18"/>
    <mergeCell ref="B41:G41"/>
    <mergeCell ref="B35:G35"/>
    <mergeCell ref="C2:S2"/>
    <mergeCell ref="H8:M8"/>
    <mergeCell ref="N26:S26"/>
    <mergeCell ref="N35:S35"/>
    <mergeCell ref="H26:M26"/>
    <mergeCell ref="B25:G25"/>
    <mergeCell ref="N25:S25"/>
    <mergeCell ref="H10:M10"/>
    <mergeCell ref="H41:M41"/>
    <mergeCell ref="B27:G27"/>
    <mergeCell ref="H34:M34"/>
    <mergeCell ref="H25:M25"/>
    <mergeCell ref="B11:G11"/>
    <mergeCell ref="A5:G5"/>
    <mergeCell ref="A42:S42"/>
    <mergeCell ref="H36:M36"/>
    <mergeCell ref="A38:G38"/>
    <mergeCell ref="H17:M17"/>
    <mergeCell ref="N39:S39"/>
    <mergeCell ref="H11:M11"/>
    <mergeCell ref="B29:G29"/>
    <mergeCell ref="N29:S29"/>
    <mergeCell ref="H19:M19"/>
    <mergeCell ref="H28:M28"/>
    <mergeCell ref="H37:M37"/>
    <mergeCell ref="A24:G24"/>
    <mergeCell ref="N13:S13"/>
    <mergeCell ref="B40:G40"/>
    <mergeCell ref="H12:M12"/>
    <mergeCell ref="N31:S31"/>
    <mergeCell ref="B15:G15"/>
    <mergeCell ref="J1:S1"/>
    <mergeCell ref="N6:S6"/>
    <mergeCell ref="N15:S15"/>
    <mergeCell ref="H24:S24"/>
    <mergeCell ref="H14:M14"/>
    <mergeCell ref="B32:G32"/>
    <mergeCell ref="H23:M23"/>
    <mergeCell ref="A16:G16"/>
    <mergeCell ref="B26:G26"/>
    <mergeCell ref="Y16:Y23"/>
    <mergeCell ref="B7:G7"/>
    <mergeCell ref="H38:M38"/>
    <mergeCell ref="N32:S32"/>
    <mergeCell ref="N7:S7"/>
    <mergeCell ref="N41:S41"/>
    <mergeCell ref="H40:M40"/>
    <mergeCell ref="B18:G18"/>
    <mergeCell ref="N33:S33"/>
    <mergeCell ref="B17:G17"/>
    <mergeCell ref="N17:S17"/>
    <mergeCell ref="B19:G19"/>
    <mergeCell ref="B34:G34"/>
    <mergeCell ref="B28:G28"/>
    <mergeCell ref="B37:G37"/>
    <mergeCell ref="N19:S19"/>
    <mergeCell ref="H22:M22"/>
    <mergeCell ref="B9:G9"/>
    <mergeCell ref="N28:S28"/>
    <mergeCell ref="N9:S9"/>
    <mergeCell ref="B6:G6"/>
    <mergeCell ref="B20:G20"/>
    <mergeCell ref="N30:S30"/>
    <mergeCell ref="B3:S4"/>
    <mergeCell ref="H30:M30"/>
    <mergeCell ref="H20:M20"/>
    <mergeCell ref="H29:M29"/>
    <mergeCell ref="B1:H1"/>
    <mergeCell ref="N37:S37"/>
    <mergeCell ref="H31:M31"/>
    <mergeCell ref="H6:M6"/>
  </mergeCells>
  <pageMargins left="0.25" right="0.25" top="0.75" bottom="0.75" header="0.3" footer="0.3"/>
  <pageSetup orientation="portrait" paperSize="9" scale="82"/>
</worksheet>
</file>

<file path=xl/worksheets/sheet13.xml><?xml version="1.0" encoding="utf-8"?>
<worksheet xmlns="http://schemas.openxmlformats.org/spreadsheetml/2006/main">
  <sheetPr codeName="Planilha2">
    <outlinePr summaryBelow="1" summaryRight="1"/>
    <pageSetUpPr fitToPage="1"/>
  </sheetPr>
  <dimension ref="A1:Z54"/>
  <sheetViews>
    <sheetView workbookViewId="0">
      <selection activeCell="A1" sqref="A1"/>
    </sheetView>
  </sheetViews>
  <sheetFormatPr baseColWidth="8" defaultRowHeight="13.2"/>
  <cols>
    <col width="35.109375" bestFit="1" customWidth="1" style="137" min="1" max="1"/>
    <col width="4.88671875" customWidth="1" style="137" min="2" max="19"/>
  </cols>
  <sheetData>
    <row r="1" ht="14.25" customHeight="1">
      <c r="A1" s="210">
        <f>_xlfn.IMAGE("https://technikgrupo.sharepoint.com/sites/transfer/Logos/Technik.png")</f>
        <v/>
      </c>
      <c r="B1" s="211" t="inlineStr">
        <is>
          <t>FOLHA DE DADOS</t>
        </is>
      </c>
      <c r="C1" s="212" t="n"/>
      <c r="D1" s="212" t="n"/>
      <c r="E1" s="212" t="n"/>
      <c r="F1" s="212" t="n"/>
      <c r="G1" s="212" t="n"/>
      <c r="H1" s="213" t="n"/>
      <c r="I1" s="19" t="inlineStr">
        <is>
          <t>Nº.:</t>
        </is>
      </c>
      <c r="J1" s="166">
        <f>"FD-"&amp;Config!D2&amp;"-"&amp;Config!F2&amp;"-001"</f>
        <v/>
      </c>
      <c r="K1" s="212" t="n"/>
      <c r="L1" s="212" t="n"/>
      <c r="M1" s="212" t="n"/>
      <c r="N1" s="212" t="n"/>
      <c r="O1" s="212" t="n"/>
      <c r="P1" s="212" t="n"/>
      <c r="Q1" s="212" t="n"/>
      <c r="R1" s="212" t="n"/>
      <c r="S1" s="214" t="n"/>
    </row>
    <row r="2" ht="14.25" customHeight="1">
      <c r="A2" s="215" t="n"/>
      <c r="B2" s="20" t="inlineStr">
        <is>
          <t>ÁREA:</t>
        </is>
      </c>
      <c r="C2" s="164" t="inlineStr">
        <is>
          <t>PÁTIO D3</t>
        </is>
      </c>
      <c r="D2" s="205" t="n"/>
      <c r="E2" s="205" t="n"/>
      <c r="F2" s="205" t="n"/>
      <c r="G2" s="205" t="n"/>
      <c r="H2" s="205" t="n"/>
      <c r="I2" s="205" t="n"/>
      <c r="J2" s="205" t="n"/>
      <c r="K2" s="205" t="n"/>
      <c r="L2" s="205" t="n"/>
      <c r="M2" s="205" t="n"/>
      <c r="N2" s="205" t="n"/>
      <c r="O2" s="205" t="n"/>
      <c r="P2" s="205" t="n"/>
      <c r="Q2" s="205" t="n"/>
      <c r="R2" s="205" t="n"/>
      <c r="S2" s="216" t="n"/>
    </row>
    <row r="3" ht="14.25" customHeight="1">
      <c r="A3" s="215" t="n"/>
      <c r="B3" s="217" t="inlineStr">
        <is>
          <t>VÁLVULA ON OFF</t>
        </is>
      </c>
      <c r="C3" s="184" t="n"/>
      <c r="D3" s="184" t="n"/>
      <c r="E3" s="184" t="n"/>
      <c r="F3" s="184" t="n"/>
      <c r="G3" s="184" t="n"/>
      <c r="H3" s="184" t="n"/>
      <c r="I3" s="184" t="n"/>
      <c r="J3" s="184" t="n"/>
      <c r="K3" s="184" t="n"/>
      <c r="L3" s="184" t="n"/>
      <c r="M3" s="184" t="n"/>
      <c r="N3" s="184" t="n"/>
      <c r="O3" s="184" t="n"/>
      <c r="P3" s="184" t="n"/>
      <c r="Q3" s="184" t="n"/>
      <c r="R3" s="184" t="n"/>
      <c r="S3" s="185" t="n"/>
    </row>
    <row r="4" ht="14.25" customHeight="1" thickBot="1">
      <c r="A4" s="218" t="n"/>
      <c r="B4" s="219" t="n"/>
      <c r="C4" s="197" t="n"/>
      <c r="D4" s="197" t="n"/>
      <c r="E4" s="197" t="n"/>
      <c r="F4" s="197" t="n"/>
      <c r="G4" s="197" t="n"/>
      <c r="H4" s="197" t="n"/>
      <c r="I4" s="197" t="n"/>
      <c r="J4" s="197" t="n"/>
      <c r="K4" s="197" t="n"/>
      <c r="L4" s="197" t="n"/>
      <c r="M4" s="197" t="n"/>
      <c r="N4" s="197" t="n"/>
      <c r="O4" s="197" t="n"/>
      <c r="P4" s="197" t="n"/>
      <c r="Q4" s="197" t="n"/>
      <c r="R4" s="197" t="n"/>
      <c r="S4" s="199" t="n"/>
    </row>
    <row r="5" ht="13.8" customHeight="1" thickBot="1">
      <c r="A5" s="220" t="inlineStr">
        <is>
          <t>GERAL</t>
        </is>
      </c>
      <c r="B5" s="221" t="n"/>
      <c r="C5" s="221" t="n"/>
      <c r="D5" s="221" t="n"/>
      <c r="E5" s="221" t="n"/>
      <c r="F5" s="221" t="n"/>
      <c r="G5" s="222" t="n"/>
      <c r="H5" s="220" t="inlineStr">
        <is>
          <t>VÁLVULA SOLENÓIDE</t>
        </is>
      </c>
      <c r="I5" s="221" t="n"/>
      <c r="J5" s="221" t="n"/>
      <c r="K5" s="221" t="n"/>
      <c r="L5" s="221" t="n"/>
      <c r="M5" s="221" t="n"/>
      <c r="N5" s="221" t="n"/>
      <c r="O5" s="221" t="n"/>
      <c r="P5" s="221" t="n"/>
      <c r="Q5" s="221" t="n"/>
      <c r="R5" s="221" t="n"/>
      <c r="S5" s="222" t="n"/>
    </row>
    <row r="6">
      <c r="A6" s="17" t="inlineStr">
        <is>
          <t>TAG / Quantidade</t>
        </is>
      </c>
      <c r="B6" s="167" t="inlineStr">
        <is>
          <t>XV-1715.1</t>
        </is>
      </c>
      <c r="C6" s="181" t="n"/>
      <c r="D6" s="181" t="n"/>
      <c r="E6" s="181" t="n"/>
      <c r="F6" s="181" t="n"/>
      <c r="G6" s="181" t="n"/>
      <c r="H6" s="18" t="inlineStr">
        <is>
          <t>TAG</t>
        </is>
      </c>
      <c r="I6" s="212" t="n"/>
      <c r="J6" s="212" t="n"/>
      <c r="K6" s="212" t="n"/>
      <c r="L6" s="212" t="n"/>
      <c r="M6" s="213" t="n"/>
      <c r="N6" s="223" t="n"/>
      <c r="O6" s="173" t="n"/>
      <c r="P6" s="173" t="n"/>
      <c r="Q6" s="173" t="n"/>
      <c r="R6" s="173" t="n"/>
      <c r="S6" s="177" t="n"/>
    </row>
    <row r="7">
      <c r="A7" s="3" t="inlineStr">
        <is>
          <t>Função</t>
        </is>
      </c>
      <c r="B7" s="158" t="n"/>
      <c r="C7" s="205" t="n"/>
      <c r="D7" s="205" t="n"/>
      <c r="E7" s="205" t="n"/>
      <c r="F7" s="205" t="n"/>
      <c r="G7" s="205" t="n"/>
      <c r="H7" s="3" t="inlineStr">
        <is>
          <t>Tipo</t>
        </is>
      </c>
      <c r="I7" s="205" t="n"/>
      <c r="J7" s="205" t="n"/>
      <c r="K7" s="205" t="n"/>
      <c r="L7" s="205" t="n"/>
      <c r="M7" s="206" t="n"/>
      <c r="N7" s="224" t="n"/>
      <c r="O7" s="184" t="n"/>
      <c r="P7" s="184" t="n"/>
      <c r="Q7" s="184" t="n"/>
      <c r="R7" s="184" t="n"/>
      <c r="S7" s="185" t="n"/>
    </row>
    <row r="8">
      <c r="A8" s="4" t="inlineStr">
        <is>
          <t>Fluxograma</t>
        </is>
      </c>
      <c r="B8" s="158" t="inlineStr">
        <is>
          <t>PHS2-PR27-1701-FL.01 Rev. 74I</t>
        </is>
      </c>
      <c r="C8" s="205" t="n"/>
      <c r="D8" s="205" t="n"/>
      <c r="E8" s="205" t="n"/>
      <c r="F8" s="205" t="n"/>
      <c r="G8" s="205" t="n"/>
      <c r="H8" s="3" t="inlineStr">
        <is>
          <t>Número de vias/posições</t>
        </is>
      </c>
      <c r="I8" s="205" t="n"/>
      <c r="J8" s="205" t="n"/>
      <c r="K8" s="205" t="n"/>
      <c r="L8" s="205" t="n"/>
      <c r="M8" s="206" t="n"/>
      <c r="N8" s="224" t="n"/>
      <c r="O8" s="184" t="n"/>
      <c r="P8" s="184" t="n"/>
      <c r="Q8" s="184" t="n"/>
      <c r="R8" s="184" t="n"/>
      <c r="S8" s="185" t="n"/>
    </row>
    <row r="9">
      <c r="A9" s="3" t="inlineStr">
        <is>
          <t>Bitola da linha</t>
        </is>
      </c>
      <c r="B9" s="158" t="n"/>
      <c r="C9" s="205" t="n"/>
      <c r="D9" s="205" t="n"/>
      <c r="E9" s="205" t="n"/>
      <c r="F9" s="205" t="n"/>
      <c r="G9" s="205" t="n"/>
      <c r="H9" s="3" t="inlineStr">
        <is>
          <t>Material do corpo</t>
        </is>
      </c>
      <c r="I9" s="205" t="n"/>
      <c r="J9" s="205" t="n"/>
      <c r="K9" s="205" t="n"/>
      <c r="L9" s="205" t="n"/>
      <c r="M9" s="206" t="n"/>
      <c r="N9" s="224" t="n"/>
      <c r="O9" s="184" t="n"/>
      <c r="P9" s="184" t="n"/>
      <c r="Q9" s="184" t="n"/>
      <c r="R9" s="184" t="n"/>
      <c r="S9" s="185" t="n"/>
    </row>
    <row r="10">
      <c r="A10" s="3" t="inlineStr">
        <is>
          <t>Tipo do corpo</t>
        </is>
      </c>
      <c r="B10" s="158" t="inlineStr">
        <is>
          <t>ESFERA AUTOMÁTICA</t>
        </is>
      </c>
      <c r="C10" s="205" t="n"/>
      <c r="D10" s="205" t="n"/>
      <c r="E10" s="205" t="n"/>
      <c r="F10" s="205" t="n"/>
      <c r="G10" s="205" t="n"/>
      <c r="H10" s="3" t="inlineStr">
        <is>
          <t>Classe da bobina</t>
        </is>
      </c>
      <c r="I10" s="205" t="n"/>
      <c r="J10" s="205" t="n"/>
      <c r="K10" s="205" t="n"/>
      <c r="L10" s="205" t="n"/>
      <c r="M10" s="206" t="n"/>
      <c r="N10" s="224" t="n"/>
      <c r="O10" s="184" t="n"/>
      <c r="P10" s="184" t="n"/>
      <c r="Q10" s="184" t="n"/>
      <c r="R10" s="184" t="n"/>
      <c r="S10" s="185" t="n"/>
    </row>
    <row r="11">
      <c r="A11" s="3" t="inlineStr">
        <is>
          <t>Material do corpo</t>
        </is>
      </c>
      <c r="B11" s="158" t="n"/>
      <c r="C11" s="205" t="n"/>
      <c r="D11" s="205" t="n"/>
      <c r="E11" s="205" t="n"/>
      <c r="F11" s="205" t="n"/>
      <c r="G11" s="205" t="n"/>
      <c r="H11" s="3" t="inlineStr">
        <is>
          <t>Número de bobinas</t>
        </is>
      </c>
      <c r="I11" s="205" t="n"/>
      <c r="J11" s="205" t="n"/>
      <c r="K11" s="205" t="n"/>
      <c r="L11" s="205" t="n"/>
      <c r="M11" s="206" t="n"/>
      <c r="N11" s="224" t="n"/>
      <c r="O11" s="184" t="n"/>
      <c r="P11" s="184" t="n"/>
      <c r="Q11" s="184" t="n"/>
      <c r="R11" s="184" t="n"/>
      <c r="S11" s="185" t="n"/>
    </row>
    <row r="12">
      <c r="A12" s="3" t="inlineStr">
        <is>
          <t>Diâmetro da válvula</t>
        </is>
      </c>
      <c r="B12" s="158" t="inlineStr">
        <is>
          <t>-</t>
        </is>
      </c>
      <c r="C12" s="205" t="n"/>
      <c r="D12" s="205" t="n"/>
      <c r="E12" s="205" t="n"/>
      <c r="F12" s="205" t="n"/>
      <c r="G12" s="205" t="n"/>
      <c r="H12" s="3" t="inlineStr">
        <is>
          <t>Conexão elétrica</t>
        </is>
      </c>
      <c r="I12" s="205" t="n"/>
      <c r="J12" s="205" t="n"/>
      <c r="K12" s="205" t="n"/>
      <c r="L12" s="205" t="n"/>
      <c r="M12" s="206" t="n"/>
      <c r="N12" s="224" t="n"/>
      <c r="O12" s="184" t="n"/>
      <c r="P12" s="184" t="n"/>
      <c r="Q12" s="184" t="n"/>
      <c r="R12" s="184" t="n"/>
      <c r="S12" s="185" t="n"/>
    </row>
    <row r="13">
      <c r="A13" s="3" t="inlineStr">
        <is>
          <t>Conexões e faceamento</t>
        </is>
      </c>
      <c r="B13" s="148" t="n"/>
      <c r="C13" s="205" t="n"/>
      <c r="D13" s="205" t="n"/>
      <c r="E13" s="205" t="n"/>
      <c r="F13" s="205" t="n"/>
      <c r="G13" s="205" t="n"/>
      <c r="H13" s="3" t="inlineStr">
        <is>
          <t>Conexão pneumática</t>
        </is>
      </c>
      <c r="I13" s="205" t="n"/>
      <c r="J13" s="205" t="n"/>
      <c r="K13" s="205" t="n"/>
      <c r="L13" s="205" t="n"/>
      <c r="M13" s="206" t="n"/>
      <c r="N13" s="224" t="n"/>
      <c r="O13" s="184" t="n"/>
      <c r="P13" s="184" t="n"/>
      <c r="Q13" s="184" t="n"/>
      <c r="R13" s="184" t="n"/>
      <c r="S13" s="185" t="n"/>
    </row>
    <row r="14">
      <c r="A14" s="3" t="inlineStr">
        <is>
          <t>Castelo</t>
        </is>
      </c>
      <c r="B14" s="148" t="n"/>
      <c r="C14" s="205" t="n"/>
      <c r="D14" s="205" t="n"/>
      <c r="E14" s="205" t="n"/>
      <c r="F14" s="205" t="n"/>
      <c r="G14" s="205" t="n"/>
      <c r="H14" s="3" t="inlineStr">
        <is>
          <t>Classificação da área</t>
        </is>
      </c>
      <c r="I14" s="205" t="n"/>
      <c r="J14" s="205" t="n"/>
      <c r="K14" s="205" t="n"/>
      <c r="L14" s="205" t="n"/>
      <c r="M14" s="206" t="n"/>
      <c r="N14" s="224" t="n"/>
      <c r="O14" s="184" t="n"/>
      <c r="P14" s="184" t="n"/>
      <c r="Q14" s="184" t="n"/>
      <c r="R14" s="184" t="n"/>
      <c r="S14" s="185" t="n"/>
    </row>
    <row r="15" ht="13.8" customHeight="1" thickBot="1">
      <c r="A15" s="16" t="inlineStr">
        <is>
          <t>Classe de vedação</t>
        </is>
      </c>
      <c r="B15" s="150" t="n"/>
      <c r="C15" s="184" t="n"/>
      <c r="D15" s="184" t="n"/>
      <c r="E15" s="184" t="n"/>
      <c r="F15" s="184" t="n"/>
      <c r="G15" s="184" t="n"/>
      <c r="H15" s="6" t="inlineStr">
        <is>
          <t>Classificação do invólucro</t>
        </is>
      </c>
      <c r="I15" s="208" t="n"/>
      <c r="J15" s="208" t="n"/>
      <c r="K15" s="208" t="n"/>
      <c r="L15" s="208" t="n"/>
      <c r="M15" s="209" t="n"/>
      <c r="N15" s="225" t="n"/>
      <c r="O15" s="208" t="n"/>
      <c r="P15" s="208" t="n"/>
      <c r="Q15" s="208" t="n"/>
      <c r="R15" s="208" t="n"/>
      <c r="S15" s="226" t="n"/>
    </row>
    <row r="16" ht="13.8" customHeight="1" thickBot="1">
      <c r="A16" s="220" t="inlineStr">
        <is>
          <t>INTERNOS</t>
        </is>
      </c>
      <c r="B16" s="221" t="n"/>
      <c r="C16" s="221" t="n"/>
      <c r="D16" s="221" t="n"/>
      <c r="E16" s="221" t="n"/>
      <c r="F16" s="221" t="n"/>
      <c r="G16" s="222" t="n"/>
      <c r="H16" s="220" t="inlineStr">
        <is>
          <t>FINS DE CURSO</t>
        </is>
      </c>
      <c r="I16" s="221" t="n"/>
      <c r="J16" s="221" t="n"/>
      <c r="K16" s="221" t="n"/>
      <c r="L16" s="221" t="n"/>
      <c r="M16" s="221" t="n"/>
      <c r="N16" s="221" t="n"/>
      <c r="O16" s="221" t="n"/>
      <c r="P16" s="221" t="n"/>
      <c r="Q16" s="221" t="n"/>
      <c r="R16" s="221" t="n"/>
      <c r="S16" s="222" t="n"/>
      <c r="X16" s="69" t="n"/>
      <c r="Y16" s="69" t="n"/>
      <c r="Z16" s="69" t="n"/>
    </row>
    <row r="17">
      <c r="A17" s="18" t="inlineStr">
        <is>
          <t>Material das gaxetas</t>
        </is>
      </c>
      <c r="B17" s="227" t="n"/>
      <c r="C17" s="212" t="n"/>
      <c r="D17" s="212" t="n"/>
      <c r="E17" s="212" t="n"/>
      <c r="F17" s="212" t="n"/>
      <c r="G17" s="214" t="n"/>
      <c r="H17" s="146" t="inlineStr">
        <is>
          <t>TAG</t>
        </is>
      </c>
      <c r="I17" s="181" t="n"/>
      <c r="J17" s="181" t="n"/>
      <c r="K17" s="181" t="n"/>
      <c r="L17" s="181" t="n"/>
      <c r="M17" s="202" t="n"/>
      <c r="N17" s="228" t="n"/>
      <c r="S17" s="192" t="n"/>
      <c r="X17" s="69" t="n"/>
      <c r="Z17" s="69" t="n"/>
    </row>
    <row r="18">
      <c r="A18" s="3" t="inlineStr">
        <is>
          <t>Sede</t>
        </is>
      </c>
      <c r="B18" s="229" t="n"/>
      <c r="C18" s="205" t="n"/>
      <c r="D18" s="205" t="n"/>
      <c r="E18" s="205" t="n"/>
      <c r="F18" s="205" t="n"/>
      <c r="G18" s="216" t="n"/>
      <c r="H18" s="130" t="inlineStr">
        <is>
          <t>Tipo</t>
        </is>
      </c>
      <c r="I18" s="205" t="n"/>
      <c r="J18" s="205" t="n"/>
      <c r="K18" s="205" t="n"/>
      <c r="L18" s="205" t="n"/>
      <c r="M18" s="206" t="n"/>
      <c r="N18" s="224" t="n"/>
      <c r="O18" s="184" t="n"/>
      <c r="P18" s="184" t="n"/>
      <c r="Q18" s="184" t="n"/>
      <c r="R18" s="184" t="n"/>
      <c r="S18" s="185" t="n"/>
      <c r="X18" s="69" t="n"/>
      <c r="Z18" s="69" t="n"/>
    </row>
    <row r="19">
      <c r="A19" s="5" t="inlineStr">
        <is>
          <t>Material do disco</t>
        </is>
      </c>
      <c r="B19" s="229" t="n"/>
      <c r="C19" s="205" t="n"/>
      <c r="D19" s="205" t="n"/>
      <c r="E19" s="205" t="n"/>
      <c r="F19" s="205" t="n"/>
      <c r="G19" s="216" t="n"/>
      <c r="H19" s="130" t="inlineStr">
        <is>
          <t>Quantidade</t>
        </is>
      </c>
      <c r="I19" s="205" t="n"/>
      <c r="J19" s="205" t="n"/>
      <c r="K19" s="205" t="n"/>
      <c r="L19" s="205" t="n"/>
      <c r="M19" s="206" t="n"/>
      <c r="N19" s="224" t="n"/>
      <c r="O19" s="184" t="n"/>
      <c r="P19" s="184" t="n"/>
      <c r="Q19" s="184" t="n"/>
      <c r="R19" s="184" t="n"/>
      <c r="S19" s="185" t="n"/>
      <c r="X19" s="69" t="n"/>
      <c r="Z19" s="69" t="n"/>
    </row>
    <row r="20">
      <c r="A20" s="5" t="inlineStr">
        <is>
          <t>Material da haste</t>
        </is>
      </c>
      <c r="B20" s="229" t="n"/>
      <c r="C20" s="205" t="n"/>
      <c r="D20" s="205" t="n"/>
      <c r="E20" s="205" t="n"/>
      <c r="F20" s="205" t="n"/>
      <c r="G20" s="216" t="n"/>
      <c r="H20" s="130" t="inlineStr">
        <is>
          <t>Tipo dos contatos</t>
        </is>
      </c>
      <c r="I20" s="205" t="n"/>
      <c r="J20" s="205" t="n"/>
      <c r="K20" s="205" t="n"/>
      <c r="L20" s="205" t="n"/>
      <c r="M20" s="206" t="n"/>
      <c r="N20" s="224" t="n"/>
      <c r="O20" s="184" t="n"/>
      <c r="P20" s="184" t="n"/>
      <c r="Q20" s="184" t="n"/>
      <c r="R20" s="184" t="n"/>
      <c r="S20" s="185" t="n"/>
      <c r="X20" s="69" t="n"/>
      <c r="Z20" s="69" t="n"/>
    </row>
    <row r="21">
      <c r="A21" s="3" t="inlineStr">
        <is>
          <t>Obturador balanceado</t>
        </is>
      </c>
      <c r="B21" s="229" t="n"/>
      <c r="C21" s="205" t="n"/>
      <c r="D21" s="205" t="n"/>
      <c r="E21" s="205" t="n"/>
      <c r="F21" s="205" t="n"/>
      <c r="G21" s="216" t="n"/>
      <c r="H21" s="130" t="inlineStr">
        <is>
          <t>Conexão elétrica</t>
        </is>
      </c>
      <c r="I21" s="205" t="n"/>
      <c r="J21" s="205" t="n"/>
      <c r="K21" s="205" t="n"/>
      <c r="L21" s="205" t="n"/>
      <c r="M21" s="206" t="n"/>
      <c r="N21" s="224" t="n"/>
      <c r="O21" s="184" t="n"/>
      <c r="P21" s="184" t="n"/>
      <c r="Q21" s="184" t="n"/>
      <c r="R21" s="184" t="n"/>
      <c r="S21" s="185" t="n"/>
      <c r="X21" s="69" t="n"/>
      <c r="Z21" s="69" t="n"/>
    </row>
    <row r="22">
      <c r="A22" s="3" t="inlineStr">
        <is>
          <t>Direção do fluxo</t>
        </is>
      </c>
      <c r="B22" s="229" t="n"/>
      <c r="C22" s="205" t="n"/>
      <c r="D22" s="205" t="n"/>
      <c r="E22" s="205" t="n"/>
      <c r="F22" s="205" t="n"/>
      <c r="G22" s="216" t="n"/>
      <c r="H22" s="130" t="inlineStr">
        <is>
          <t>Classificação de área</t>
        </is>
      </c>
      <c r="I22" s="205" t="n"/>
      <c r="J22" s="205" t="n"/>
      <c r="K22" s="205" t="n"/>
      <c r="L22" s="205" t="n"/>
      <c r="M22" s="206" t="n"/>
      <c r="N22" s="224" t="n"/>
      <c r="O22" s="184" t="n"/>
      <c r="P22" s="184" t="n"/>
      <c r="Q22" s="184" t="n"/>
      <c r="R22" s="184" t="n"/>
      <c r="S22" s="185" t="n"/>
      <c r="X22" s="69" t="n"/>
      <c r="Z22" s="69" t="n"/>
    </row>
    <row r="23" ht="13.8" customHeight="1" thickBot="1">
      <c r="A23" s="6" t="inlineStr">
        <is>
          <t>Guias</t>
        </is>
      </c>
      <c r="B23" s="230" t="n"/>
      <c r="C23" s="208" t="n"/>
      <c r="D23" s="208" t="n"/>
      <c r="E23" s="208" t="n"/>
      <c r="F23" s="208" t="n"/>
      <c r="G23" s="226" t="n"/>
      <c r="H23" s="147" t="inlineStr">
        <is>
          <t>Classificação do invólucro</t>
        </is>
      </c>
      <c r="I23" s="184" t="n"/>
      <c r="J23" s="184" t="n"/>
      <c r="K23" s="184" t="n"/>
      <c r="L23" s="184" t="n"/>
      <c r="M23" s="231" t="n"/>
      <c r="N23" s="224" t="n"/>
      <c r="O23" s="184" t="n"/>
      <c r="P23" s="184" t="n"/>
      <c r="Q23" s="184" t="n"/>
      <c r="R23" s="184" t="n"/>
      <c r="S23" s="185" t="n"/>
      <c r="X23" s="69" t="n"/>
      <c r="Z23" s="69" t="n"/>
    </row>
    <row r="24" ht="13.8" customHeight="1" thickBot="1">
      <c r="A24" s="220" t="inlineStr">
        <is>
          <t>ATUADOR</t>
        </is>
      </c>
      <c r="B24" s="221" t="n"/>
      <c r="C24" s="221" t="n"/>
      <c r="D24" s="221" t="n"/>
      <c r="E24" s="221" t="n"/>
      <c r="F24" s="221" t="n"/>
      <c r="G24" s="222" t="n"/>
      <c r="H24" s="220" t="inlineStr">
        <is>
          <t>DADOS DE PROCESSO</t>
        </is>
      </c>
      <c r="I24" s="221" t="n"/>
      <c r="J24" s="221" t="n"/>
      <c r="K24" s="221" t="n"/>
      <c r="L24" s="221" t="n"/>
      <c r="M24" s="221" t="n"/>
      <c r="N24" s="221" t="n"/>
      <c r="O24" s="221" t="n"/>
      <c r="P24" s="221" t="n"/>
      <c r="Q24" s="221" t="n"/>
      <c r="R24" s="221" t="n"/>
      <c r="S24" s="222" t="n"/>
    </row>
    <row r="25">
      <c r="A25" s="17" t="inlineStr">
        <is>
          <t>Tipo</t>
        </is>
      </c>
      <c r="B25" s="152" t="n"/>
      <c r="C25" s="181" t="n"/>
      <c r="D25" s="181" t="n"/>
      <c r="E25" s="181" t="n"/>
      <c r="F25" s="181" t="n"/>
      <c r="G25" s="181" t="n"/>
      <c r="H25" s="18" t="inlineStr">
        <is>
          <t>Fluido</t>
        </is>
      </c>
      <c r="I25" s="212" t="n"/>
      <c r="J25" s="212" t="n"/>
      <c r="K25" s="212" t="n"/>
      <c r="L25" s="212" t="n"/>
      <c r="M25" s="213" t="n"/>
      <c r="N25" s="232" t="inlineStr">
        <is>
          <t>(NOTA 1)</t>
        </is>
      </c>
      <c r="O25" s="173" t="n"/>
      <c r="P25" s="173" t="n"/>
      <c r="Q25" s="173" t="n"/>
      <c r="R25" s="173" t="n"/>
      <c r="S25" s="177" t="n"/>
    </row>
    <row r="26">
      <c r="A26" s="3" t="inlineStr">
        <is>
          <t>Range</t>
        </is>
      </c>
      <c r="B26" s="148" t="n"/>
      <c r="C26" s="205" t="n"/>
      <c r="D26" s="205" t="n"/>
      <c r="E26" s="205" t="n"/>
      <c r="F26" s="205" t="n"/>
      <c r="G26" s="205" t="n"/>
      <c r="H26" s="3" t="inlineStr">
        <is>
          <t>Estado físico</t>
        </is>
      </c>
      <c r="I26" s="205" t="n"/>
      <c r="J26" s="205" t="n"/>
      <c r="K26" s="205" t="n"/>
      <c r="L26" s="205" t="n"/>
      <c r="M26" s="206" t="n"/>
      <c r="N26" s="233" t="n"/>
      <c r="O26" s="184" t="n"/>
      <c r="P26" s="184" t="n"/>
      <c r="Q26" s="184" t="n"/>
      <c r="R26" s="184" t="n"/>
      <c r="S26" s="185" t="n"/>
    </row>
    <row r="27">
      <c r="A27" s="3" t="inlineStr">
        <is>
          <t>Volante</t>
        </is>
      </c>
      <c r="B27" s="148" t="n"/>
      <c r="C27" s="205" t="n"/>
      <c r="D27" s="205" t="n"/>
      <c r="E27" s="205" t="n"/>
      <c r="F27" s="205" t="n"/>
      <c r="G27" s="205" t="n"/>
      <c r="H27" s="3" t="inlineStr">
        <is>
          <t>Pressão de entrada</t>
        </is>
      </c>
      <c r="I27" s="205" t="n"/>
      <c r="J27" s="205" t="n"/>
      <c r="K27" s="205" t="n"/>
      <c r="L27" s="205" t="n"/>
      <c r="M27" s="206" t="n"/>
      <c r="N27" s="233" t="inlineStr">
        <is>
          <t>3,00</t>
        </is>
      </c>
      <c r="O27" s="184" t="n"/>
      <c r="P27" s="184" t="n"/>
      <c r="Q27" s="184" t="n"/>
      <c r="R27" s="184" t="n"/>
      <c r="S27" s="185" t="n"/>
    </row>
    <row r="28">
      <c r="A28" s="3" t="inlineStr">
        <is>
          <t>Ação em caso de falha</t>
        </is>
      </c>
      <c r="B28" s="148" t="n"/>
      <c r="C28" s="205" t="n"/>
      <c r="D28" s="205" t="n"/>
      <c r="E28" s="205" t="n"/>
      <c r="F28" s="205" t="n"/>
      <c r="G28" s="205" t="n"/>
      <c r="H28" s="3" t="inlineStr">
        <is>
          <t>Pressão de saída</t>
        </is>
      </c>
      <c r="I28" s="205" t="n"/>
      <c r="J28" s="205" t="n"/>
      <c r="K28" s="205" t="n"/>
      <c r="L28" s="205" t="n"/>
      <c r="M28" s="206" t="n"/>
      <c r="N28" s="233" t="n"/>
      <c r="O28" s="184" t="n"/>
      <c r="P28" s="184" t="n"/>
      <c r="Q28" s="184" t="n"/>
      <c r="R28" s="184" t="n"/>
      <c r="S28" s="185" t="n"/>
    </row>
    <row r="29" ht="13.8" customHeight="1" thickBot="1">
      <c r="A29" s="16" t="inlineStr">
        <is>
          <t>Pressão suprimento de ar (min/max)</t>
        </is>
      </c>
      <c r="B29" s="150" t="n"/>
      <c r="C29" s="184" t="n"/>
      <c r="D29" s="184" t="n"/>
      <c r="E29" s="184" t="n"/>
      <c r="F29" s="184" t="n"/>
      <c r="G29" s="184" t="n"/>
      <c r="H29" s="3" t="inlineStr">
        <is>
          <t>Viscosidade</t>
        </is>
      </c>
      <c r="I29" s="205" t="n"/>
      <c r="J29" s="205" t="n"/>
      <c r="K29" s="205" t="n"/>
      <c r="L29" s="205" t="n"/>
      <c r="M29" s="206" t="n"/>
      <c r="N29" s="233" t="inlineStr">
        <is>
          <t>&lt;50 cP</t>
        </is>
      </c>
      <c r="O29" s="184" t="n"/>
      <c r="P29" s="184" t="n"/>
      <c r="Q29" s="184" t="n"/>
      <c r="R29" s="184" t="n"/>
      <c r="S29" s="185" t="n"/>
    </row>
    <row r="30" ht="13.8" customHeight="1" thickBot="1">
      <c r="A30" s="142" t="inlineStr">
        <is>
          <t>POSICIONADOR</t>
        </is>
      </c>
      <c r="B30" s="221" t="n"/>
      <c r="C30" s="221" t="n"/>
      <c r="D30" s="221" t="n"/>
      <c r="E30" s="221" t="n"/>
      <c r="F30" s="221" t="n"/>
      <c r="G30" s="221" t="n"/>
      <c r="H30" s="3" t="inlineStr">
        <is>
          <t>Vazão normal</t>
        </is>
      </c>
      <c r="I30" s="205" t="n"/>
      <c r="J30" s="205" t="n"/>
      <c r="K30" s="205" t="n"/>
      <c r="L30" s="205" t="n"/>
      <c r="M30" s="206" t="n"/>
      <c r="N30" s="233" t="n"/>
      <c r="O30" s="184" t="n"/>
      <c r="P30" s="184" t="n"/>
      <c r="Q30" s="184" t="n"/>
      <c r="R30" s="184" t="n"/>
      <c r="S30" s="185" t="n"/>
    </row>
    <row r="31">
      <c r="A31" s="17" t="inlineStr">
        <is>
          <t>Tipo</t>
        </is>
      </c>
      <c r="B31" s="152" t="n"/>
      <c r="C31" s="181" t="n"/>
      <c r="D31" s="181" t="n"/>
      <c r="E31" s="181" t="n"/>
      <c r="F31" s="181" t="n"/>
      <c r="G31" s="181" t="n"/>
      <c r="H31" s="3" t="inlineStr">
        <is>
          <t>Vazão máxima</t>
        </is>
      </c>
      <c r="I31" s="205" t="n"/>
      <c r="J31" s="205" t="n"/>
      <c r="K31" s="205" t="n"/>
      <c r="L31" s="205" t="n"/>
      <c r="M31" s="206" t="n"/>
      <c r="N31" s="233" t="inlineStr">
        <is>
          <t>30.0</t>
        </is>
      </c>
      <c r="O31" s="184" t="n"/>
      <c r="P31" s="184" t="n"/>
      <c r="Q31" s="184" t="n"/>
      <c r="R31" s="184" t="n"/>
      <c r="S31" s="185" t="n"/>
    </row>
    <row r="32">
      <c r="A32" s="3" t="inlineStr">
        <is>
          <t>By-pass</t>
        </is>
      </c>
      <c r="B32" s="148" t="n"/>
      <c r="C32" s="205" t="n"/>
      <c r="D32" s="205" t="n"/>
      <c r="E32" s="205" t="n"/>
      <c r="F32" s="205" t="n"/>
      <c r="G32" s="205" t="n"/>
      <c r="H32" s="3" t="inlineStr">
        <is>
          <t>Vazão mínima</t>
        </is>
      </c>
      <c r="I32" s="205" t="n"/>
      <c r="J32" s="205" t="n"/>
      <c r="K32" s="205" t="n"/>
      <c r="L32" s="205" t="n"/>
      <c r="M32" s="206" t="n"/>
      <c r="N32" s="233" t="inlineStr">
        <is>
          <t>15.0</t>
        </is>
      </c>
      <c r="O32" s="184" t="n"/>
      <c r="P32" s="184" t="n"/>
      <c r="Q32" s="184" t="n"/>
      <c r="R32" s="184" t="n"/>
      <c r="S32" s="185" t="n"/>
    </row>
    <row r="33">
      <c r="A33" s="3" t="inlineStr">
        <is>
          <t>Manômetros quantidade</t>
        </is>
      </c>
      <c r="B33" s="148" t="n"/>
      <c r="C33" s="205" t="n"/>
      <c r="D33" s="205" t="n"/>
      <c r="E33" s="205" t="n"/>
      <c r="F33" s="205" t="n"/>
      <c r="G33" s="205" t="n"/>
      <c r="H33" s="3" t="inlineStr">
        <is>
          <t>Pressão shut off</t>
        </is>
      </c>
      <c r="I33" s="205" t="n"/>
      <c r="J33" s="205" t="n"/>
      <c r="K33" s="205" t="n"/>
      <c r="L33" s="205" t="n"/>
      <c r="M33" s="206" t="n"/>
      <c r="N33" s="233" t="n"/>
      <c r="O33" s="184" t="n"/>
      <c r="P33" s="184" t="n"/>
      <c r="Q33" s="184" t="n"/>
      <c r="R33" s="184" t="n"/>
      <c r="S33" s="185" t="n"/>
    </row>
    <row r="34">
      <c r="A34" s="3" t="inlineStr">
        <is>
          <t>Sinal de entrada</t>
        </is>
      </c>
      <c r="B34" s="148" t="n"/>
      <c r="C34" s="205" t="n"/>
      <c r="D34" s="205" t="n"/>
      <c r="E34" s="205" t="n"/>
      <c r="F34" s="205" t="n"/>
      <c r="G34" s="205" t="n"/>
      <c r="H34" s="3" t="inlineStr">
        <is>
          <t>Temperatura máxima</t>
        </is>
      </c>
      <c r="I34" s="205" t="n"/>
      <c r="J34" s="205" t="n"/>
      <c r="K34" s="205" t="n"/>
      <c r="L34" s="205" t="n"/>
      <c r="M34" s="206" t="n"/>
      <c r="N34" s="233" t="inlineStr">
        <is>
          <t>35</t>
        </is>
      </c>
      <c r="O34" s="184" t="n"/>
      <c r="P34" s="184" t="n"/>
      <c r="Q34" s="184" t="n"/>
      <c r="R34" s="184" t="n"/>
      <c r="S34" s="185" t="n"/>
    </row>
    <row r="35">
      <c r="A35" s="3" t="inlineStr">
        <is>
          <t>Sial de saída</t>
        </is>
      </c>
      <c r="B35" s="148" t="n"/>
      <c r="C35" s="205" t="n"/>
      <c r="D35" s="205" t="n"/>
      <c r="E35" s="205" t="n"/>
      <c r="F35" s="205" t="n"/>
      <c r="G35" s="205" t="n"/>
      <c r="H35" s="3" t="inlineStr">
        <is>
          <t>Temperatura normal</t>
        </is>
      </c>
      <c r="I35" s="205" t="n"/>
      <c r="J35" s="205" t="n"/>
      <c r="K35" s="205" t="n"/>
      <c r="L35" s="205" t="n"/>
      <c r="M35" s="206" t="n"/>
      <c r="N35" s="233" t="n"/>
      <c r="O35" s="184" t="n"/>
      <c r="P35" s="184" t="n"/>
      <c r="Q35" s="184" t="n"/>
      <c r="R35" s="184" t="n"/>
      <c r="S35" s="185" t="n"/>
    </row>
    <row r="36">
      <c r="A36" s="3" t="inlineStr">
        <is>
          <t>Característica do came</t>
        </is>
      </c>
      <c r="B36" s="148" t="n"/>
      <c r="C36" s="205" t="n"/>
      <c r="D36" s="205" t="n"/>
      <c r="E36" s="205" t="n"/>
      <c r="F36" s="205" t="n"/>
      <c r="G36" s="205" t="n"/>
      <c r="H36" s="3" t="inlineStr">
        <is>
          <t>Massa específica</t>
        </is>
      </c>
      <c r="I36" s="205" t="n"/>
      <c r="J36" s="205" t="n"/>
      <c r="K36" s="205" t="n"/>
      <c r="L36" s="205" t="n"/>
      <c r="M36" s="206" t="n"/>
      <c r="N36" s="233" t="inlineStr">
        <is>
          <t>1120 kg/m³</t>
        </is>
      </c>
      <c r="O36" s="184" t="n"/>
      <c r="P36" s="184" t="n"/>
      <c r="Q36" s="184" t="n"/>
      <c r="R36" s="184" t="n"/>
      <c r="S36" s="185" t="n"/>
    </row>
    <row r="37" ht="13.8" customHeight="1" thickBot="1">
      <c r="A37" s="16" t="inlineStr">
        <is>
          <t>Alimentação de ar</t>
        </is>
      </c>
      <c r="B37" s="150" t="n"/>
      <c r="C37" s="184" t="n"/>
      <c r="D37" s="184" t="n"/>
      <c r="E37" s="184" t="n"/>
      <c r="F37" s="184" t="n"/>
      <c r="G37" s="184" t="n"/>
      <c r="H37" s="3" t="inlineStr">
        <is>
          <t>Cv calculado (máximo) / % abertura</t>
        </is>
      </c>
      <c r="I37" s="205" t="n"/>
      <c r="J37" s="205" t="n"/>
      <c r="K37" s="205" t="n"/>
      <c r="L37" s="205" t="n"/>
      <c r="M37" s="206" t="n"/>
      <c r="N37" s="224" t="n"/>
      <c r="O37" s="184" t="n"/>
      <c r="P37" s="184" t="n"/>
      <c r="Q37" s="184" t="n"/>
      <c r="R37" s="184" t="n"/>
      <c r="S37" s="185" t="n"/>
    </row>
    <row r="38" ht="13.8" customHeight="1" thickBot="1">
      <c r="A38" s="142" t="inlineStr">
        <is>
          <t>ACESSÓRIOS</t>
        </is>
      </c>
      <c r="B38" s="221" t="n"/>
      <c r="C38" s="221" t="n"/>
      <c r="D38" s="221" t="n"/>
      <c r="E38" s="221" t="n"/>
      <c r="F38" s="221" t="n"/>
      <c r="G38" s="221" t="n"/>
      <c r="H38" s="3" t="inlineStr">
        <is>
          <t>Cv calculado (normal) / % abertura</t>
        </is>
      </c>
      <c r="I38" s="205" t="n"/>
      <c r="J38" s="205" t="n"/>
      <c r="K38" s="205" t="n"/>
      <c r="L38" s="205" t="n"/>
      <c r="M38" s="206" t="n"/>
      <c r="N38" s="224" t="n"/>
      <c r="O38" s="184" t="n"/>
      <c r="P38" s="184" t="n"/>
      <c r="Q38" s="184" t="n"/>
      <c r="R38" s="184" t="n"/>
      <c r="S38" s="185" t="n"/>
    </row>
    <row r="39">
      <c r="A39" s="17" t="inlineStr">
        <is>
          <t>Filtro / Filtro regulador</t>
        </is>
      </c>
      <c r="B39" s="152" t="n"/>
      <c r="C39" s="181" t="n"/>
      <c r="D39" s="181" t="n"/>
      <c r="E39" s="181" t="n"/>
      <c r="F39" s="181" t="n"/>
      <c r="G39" s="181" t="n"/>
      <c r="H39" s="3" t="inlineStr">
        <is>
          <t>Cv calculado (mínimo) / % abertura</t>
        </is>
      </c>
      <c r="I39" s="205" t="n"/>
      <c r="J39" s="205" t="n"/>
      <c r="K39" s="205" t="n"/>
      <c r="L39" s="205" t="n"/>
      <c r="M39" s="206" t="n"/>
      <c r="N39" s="224" t="n"/>
      <c r="O39" s="184" t="n"/>
      <c r="P39" s="184" t="n"/>
      <c r="Q39" s="184" t="n"/>
      <c r="R39" s="184" t="n"/>
      <c r="S39" s="185" t="n"/>
    </row>
    <row r="40">
      <c r="A40" s="3" t="inlineStr">
        <is>
          <t>Manômetro para o regulador</t>
        </is>
      </c>
      <c r="B40" s="148" t="n"/>
      <c r="C40" s="205" t="n"/>
      <c r="D40" s="205" t="n"/>
      <c r="E40" s="205" t="n"/>
      <c r="F40" s="205" t="n"/>
      <c r="G40" s="205" t="n"/>
      <c r="H40" s="3" t="inlineStr">
        <is>
          <t>Cv selecionado</t>
        </is>
      </c>
      <c r="I40" s="205" t="n"/>
      <c r="J40" s="205" t="n"/>
      <c r="K40" s="205" t="n"/>
      <c r="L40" s="205" t="n"/>
      <c r="M40" s="206" t="n"/>
      <c r="N40" s="224" t="n"/>
      <c r="O40" s="184" t="n"/>
      <c r="P40" s="184" t="n"/>
      <c r="Q40" s="184" t="n"/>
      <c r="R40" s="184" t="n"/>
      <c r="S40" s="185" t="n"/>
    </row>
    <row r="41" ht="13.8" customHeight="1" thickBot="1">
      <c r="A41" s="6" t="inlineStr">
        <is>
          <t>Posição do volante</t>
        </is>
      </c>
      <c r="B41" s="154" t="n"/>
      <c r="C41" s="208" t="n"/>
      <c r="D41" s="208" t="n"/>
      <c r="E41" s="208" t="n"/>
      <c r="F41" s="208" t="n"/>
      <c r="G41" s="208" t="n"/>
      <c r="H41" s="6" t="inlineStr">
        <is>
          <t>Nível de ruído</t>
        </is>
      </c>
      <c r="I41" s="208" t="n"/>
      <c r="J41" s="208" t="n"/>
      <c r="K41" s="208" t="n"/>
      <c r="L41" s="208" t="n"/>
      <c r="M41" s="209" t="n"/>
      <c r="N41" s="225" t="n"/>
      <c r="O41" s="208" t="n"/>
      <c r="P41" s="208" t="n"/>
      <c r="Q41" s="208" t="n"/>
      <c r="R41" s="208" t="n"/>
      <c r="S41" s="226" t="n"/>
    </row>
    <row r="42">
      <c r="A42" s="234" t="inlineStr">
        <is>
          <t>Notas:</t>
        </is>
      </c>
      <c r="B42" s="173" t="n"/>
      <c r="C42" s="173" t="n"/>
      <c r="D42" s="173" t="n"/>
      <c r="E42" s="173" t="n"/>
      <c r="F42" s="173" t="n"/>
      <c r="G42" s="173" t="n"/>
      <c r="H42" s="173" t="n"/>
      <c r="I42" s="173" t="n"/>
      <c r="J42" s="173" t="n"/>
      <c r="K42" s="173" t="n"/>
      <c r="L42" s="173" t="n"/>
      <c r="M42" s="173" t="n"/>
      <c r="N42" s="173" t="n"/>
      <c r="O42" s="173" t="n"/>
      <c r="P42" s="173" t="n"/>
      <c r="Q42" s="173" t="n"/>
      <c r="R42" s="173" t="n"/>
      <c r="S42" s="177" t="n"/>
    </row>
    <row r="43" ht="13.8" customHeight="1" thickBot="1">
      <c r="A43" s="235" t="inlineStr">
        <is>
          <t>(NOTA 1): CRESTIVO (A16003E); BIRK 25% (A25191A); BIRTEA; CRESTIVO DUO</t>
        </is>
      </c>
      <c r="B43" s="197" t="n"/>
      <c r="C43" s="197" t="n"/>
      <c r="D43" s="197" t="n"/>
      <c r="E43" s="197" t="n"/>
      <c r="F43" s="197" t="n"/>
      <c r="G43" s="197" t="n"/>
      <c r="H43" s="197" t="n"/>
      <c r="I43" s="197" t="n"/>
      <c r="J43" s="197" t="n"/>
      <c r="K43" s="197" t="n"/>
      <c r="L43" s="197" t="n"/>
      <c r="M43" s="197" t="n"/>
      <c r="N43" s="197" t="n"/>
      <c r="O43" s="197" t="n"/>
      <c r="P43" s="197" t="n"/>
      <c r="Q43" s="197" t="n"/>
      <c r="R43" s="197" t="n"/>
      <c r="S43" s="199" t="n"/>
    </row>
    <row r="44">
      <c r="A44" s="7" t="n"/>
    </row>
    <row r="45">
      <c r="A45" s="2" t="n"/>
    </row>
    <row r="46">
      <c r="A46" s="2" t="n"/>
    </row>
    <row r="47">
      <c r="A47" s="2" t="n"/>
    </row>
    <row r="48">
      <c r="A48" s="2" t="n"/>
    </row>
    <row r="49">
      <c r="A49" s="2" t="n"/>
    </row>
    <row r="50">
      <c r="A50" s="2" t="n"/>
    </row>
    <row r="51">
      <c r="A51" s="2" t="n"/>
    </row>
    <row r="52">
      <c r="A52" s="2" t="n"/>
    </row>
    <row r="53">
      <c r="A53" s="2" t="n"/>
    </row>
    <row r="54">
      <c r="A54" s="2" t="n"/>
    </row>
  </sheetData>
  <mergeCells count="116">
    <mergeCell ref="H21:M21"/>
    <mergeCell ref="N23:S23"/>
    <mergeCell ref="B8:G8"/>
    <mergeCell ref="N18:S18"/>
    <mergeCell ref="A1:A4"/>
    <mergeCell ref="N8:S8"/>
    <mergeCell ref="H7:M7"/>
    <mergeCell ref="B10:G10"/>
    <mergeCell ref="N10:S10"/>
    <mergeCell ref="A30:G30"/>
    <mergeCell ref="H27:M27"/>
    <mergeCell ref="N34:S34"/>
    <mergeCell ref="H33:M33"/>
    <mergeCell ref="B36:G36"/>
    <mergeCell ref="N27:S27"/>
    <mergeCell ref="H5:S5"/>
    <mergeCell ref="N36:S36"/>
    <mergeCell ref="H35:M35"/>
    <mergeCell ref="N11:S11"/>
    <mergeCell ref="N20:S20"/>
    <mergeCell ref="B22:G22"/>
    <mergeCell ref="B31:G31"/>
    <mergeCell ref="N22:S22"/>
    <mergeCell ref="H9:M9"/>
    <mergeCell ref="B12:G12"/>
    <mergeCell ref="H39:M39"/>
    <mergeCell ref="B21:G21"/>
    <mergeCell ref="B39:G39"/>
    <mergeCell ref="N12:S12"/>
    <mergeCell ref="N21:S21"/>
    <mergeCell ref="B14:G14"/>
    <mergeCell ref="B23:G23"/>
    <mergeCell ref="N14:S14"/>
    <mergeCell ref="B13:G13"/>
    <mergeCell ref="A43:S43"/>
    <mergeCell ref="N38:S38"/>
    <mergeCell ref="H16:S16"/>
    <mergeCell ref="H32:M32"/>
    <mergeCell ref="H13:M13"/>
    <mergeCell ref="N40:S40"/>
    <mergeCell ref="B33:G33"/>
    <mergeCell ref="H15:M15"/>
    <mergeCell ref="H18:M18"/>
    <mergeCell ref="B41:G41"/>
    <mergeCell ref="B35:G35"/>
    <mergeCell ref="C2:S2"/>
    <mergeCell ref="H8:M8"/>
    <mergeCell ref="N26:S26"/>
    <mergeCell ref="N35:S35"/>
    <mergeCell ref="H26:M26"/>
    <mergeCell ref="B25:G25"/>
    <mergeCell ref="N25:S25"/>
    <mergeCell ref="H10:M10"/>
    <mergeCell ref="H41:M41"/>
    <mergeCell ref="B27:G27"/>
    <mergeCell ref="H34:M34"/>
    <mergeCell ref="H25:M25"/>
    <mergeCell ref="B11:G11"/>
    <mergeCell ref="A5:G5"/>
    <mergeCell ref="A42:S42"/>
    <mergeCell ref="H36:M36"/>
    <mergeCell ref="A38:G38"/>
    <mergeCell ref="H17:M17"/>
    <mergeCell ref="N39:S39"/>
    <mergeCell ref="H11:M11"/>
    <mergeCell ref="B29:G29"/>
    <mergeCell ref="N29:S29"/>
    <mergeCell ref="H19:M19"/>
    <mergeCell ref="H28:M28"/>
    <mergeCell ref="H37:M37"/>
    <mergeCell ref="A24:G24"/>
    <mergeCell ref="N13:S13"/>
    <mergeCell ref="B40:G40"/>
    <mergeCell ref="H12:M12"/>
    <mergeCell ref="N31:S31"/>
    <mergeCell ref="B15:G15"/>
    <mergeCell ref="J1:S1"/>
    <mergeCell ref="N6:S6"/>
    <mergeCell ref="N15:S15"/>
    <mergeCell ref="H24:S24"/>
    <mergeCell ref="H14:M14"/>
    <mergeCell ref="B32:G32"/>
    <mergeCell ref="H23:M23"/>
    <mergeCell ref="A16:G16"/>
    <mergeCell ref="B26:G26"/>
    <mergeCell ref="Y16:Y23"/>
    <mergeCell ref="B7:G7"/>
    <mergeCell ref="H38:M38"/>
    <mergeCell ref="N32:S32"/>
    <mergeCell ref="N7:S7"/>
    <mergeCell ref="N41:S41"/>
    <mergeCell ref="H40:M40"/>
    <mergeCell ref="B18:G18"/>
    <mergeCell ref="N33:S33"/>
    <mergeCell ref="B17:G17"/>
    <mergeCell ref="N17:S17"/>
    <mergeCell ref="B19:G19"/>
    <mergeCell ref="B34:G34"/>
    <mergeCell ref="B28:G28"/>
    <mergeCell ref="B37:G37"/>
    <mergeCell ref="N19:S19"/>
    <mergeCell ref="H22:M22"/>
    <mergeCell ref="B9:G9"/>
    <mergeCell ref="N28:S28"/>
    <mergeCell ref="N9:S9"/>
    <mergeCell ref="B6:G6"/>
    <mergeCell ref="B20:G20"/>
    <mergeCell ref="N30:S30"/>
    <mergeCell ref="B3:S4"/>
    <mergeCell ref="H30:M30"/>
    <mergeCell ref="H20:M20"/>
    <mergeCell ref="H29:M29"/>
    <mergeCell ref="B1:H1"/>
    <mergeCell ref="N37:S37"/>
    <mergeCell ref="H31:M31"/>
    <mergeCell ref="H6:M6"/>
  </mergeCells>
  <pageMargins left="0.25" right="0.25" top="0.75" bottom="0.75" header="0.3" footer="0.3"/>
  <pageSetup orientation="portrait" paperSize="9" scale="82"/>
</worksheet>
</file>

<file path=xl/worksheets/sheet14.xml><?xml version="1.0" encoding="utf-8"?>
<worksheet xmlns="http://schemas.openxmlformats.org/spreadsheetml/2006/main">
  <sheetPr codeName="Planilha2">
    <outlinePr summaryBelow="1" summaryRight="1"/>
    <pageSetUpPr fitToPage="1"/>
  </sheetPr>
  <dimension ref="A1:Z54"/>
  <sheetViews>
    <sheetView workbookViewId="0">
      <selection activeCell="A1" sqref="A1"/>
    </sheetView>
  </sheetViews>
  <sheetFormatPr baseColWidth="8" defaultRowHeight="13.2"/>
  <cols>
    <col width="35.109375" bestFit="1" customWidth="1" style="137" min="1" max="1"/>
    <col width="4.88671875" customWidth="1" style="137" min="2" max="19"/>
  </cols>
  <sheetData>
    <row r="1" ht="14.25" customHeight="1">
      <c r="A1" s="210">
        <f>_xlfn.IMAGE("https://technikgrupo.sharepoint.com/sites/transfer/Logos/Technik.png")</f>
        <v/>
      </c>
      <c r="B1" s="211" t="inlineStr">
        <is>
          <t>FOLHA DE DADOS</t>
        </is>
      </c>
      <c r="C1" s="212" t="n"/>
      <c r="D1" s="212" t="n"/>
      <c r="E1" s="212" t="n"/>
      <c r="F1" s="212" t="n"/>
      <c r="G1" s="212" t="n"/>
      <c r="H1" s="213" t="n"/>
      <c r="I1" s="19" t="inlineStr">
        <is>
          <t>Nº.:</t>
        </is>
      </c>
      <c r="J1" s="166">
        <f>"FD-"&amp;Config!D2&amp;"-"&amp;Config!F2&amp;"-001"</f>
        <v/>
      </c>
      <c r="K1" s="212" t="n"/>
      <c r="L1" s="212" t="n"/>
      <c r="M1" s="212" t="n"/>
      <c r="N1" s="212" t="n"/>
      <c r="O1" s="212" t="n"/>
      <c r="P1" s="212" t="n"/>
      <c r="Q1" s="212" t="n"/>
      <c r="R1" s="212" t="n"/>
      <c r="S1" s="214" t="n"/>
    </row>
    <row r="2" ht="14.25" customHeight="1">
      <c r="A2" s="215" t="n"/>
      <c r="B2" s="20" t="inlineStr">
        <is>
          <t>ÁREA:</t>
        </is>
      </c>
      <c r="C2" s="164" t="inlineStr">
        <is>
          <t>PÁTIO D3</t>
        </is>
      </c>
      <c r="D2" s="205" t="n"/>
      <c r="E2" s="205" t="n"/>
      <c r="F2" s="205" t="n"/>
      <c r="G2" s="205" t="n"/>
      <c r="H2" s="205" t="n"/>
      <c r="I2" s="205" t="n"/>
      <c r="J2" s="205" t="n"/>
      <c r="K2" s="205" t="n"/>
      <c r="L2" s="205" t="n"/>
      <c r="M2" s="205" t="n"/>
      <c r="N2" s="205" t="n"/>
      <c r="O2" s="205" t="n"/>
      <c r="P2" s="205" t="n"/>
      <c r="Q2" s="205" t="n"/>
      <c r="R2" s="205" t="n"/>
      <c r="S2" s="216" t="n"/>
    </row>
    <row r="3" ht="14.25" customHeight="1">
      <c r="A3" s="215" t="n"/>
      <c r="B3" s="217" t="inlineStr">
        <is>
          <t>VÁLVULA ON OFF</t>
        </is>
      </c>
      <c r="C3" s="184" t="n"/>
      <c r="D3" s="184" t="n"/>
      <c r="E3" s="184" t="n"/>
      <c r="F3" s="184" t="n"/>
      <c r="G3" s="184" t="n"/>
      <c r="H3" s="184" t="n"/>
      <c r="I3" s="184" t="n"/>
      <c r="J3" s="184" t="n"/>
      <c r="K3" s="184" t="n"/>
      <c r="L3" s="184" t="n"/>
      <c r="M3" s="184" t="n"/>
      <c r="N3" s="184" t="n"/>
      <c r="O3" s="184" t="n"/>
      <c r="P3" s="184" t="n"/>
      <c r="Q3" s="184" t="n"/>
      <c r="R3" s="184" t="n"/>
      <c r="S3" s="185" t="n"/>
    </row>
    <row r="4" ht="14.25" customHeight="1" thickBot="1">
      <c r="A4" s="218" t="n"/>
      <c r="B4" s="219" t="n"/>
      <c r="C4" s="197" t="n"/>
      <c r="D4" s="197" t="n"/>
      <c r="E4" s="197" t="n"/>
      <c r="F4" s="197" t="n"/>
      <c r="G4" s="197" t="n"/>
      <c r="H4" s="197" t="n"/>
      <c r="I4" s="197" t="n"/>
      <c r="J4" s="197" t="n"/>
      <c r="K4" s="197" t="n"/>
      <c r="L4" s="197" t="n"/>
      <c r="M4" s="197" t="n"/>
      <c r="N4" s="197" t="n"/>
      <c r="O4" s="197" t="n"/>
      <c r="P4" s="197" t="n"/>
      <c r="Q4" s="197" t="n"/>
      <c r="R4" s="197" t="n"/>
      <c r="S4" s="199" t="n"/>
    </row>
    <row r="5" ht="13.8" customHeight="1" thickBot="1">
      <c r="A5" s="220" t="inlineStr">
        <is>
          <t>GERAL</t>
        </is>
      </c>
      <c r="B5" s="221" t="n"/>
      <c r="C5" s="221" t="n"/>
      <c r="D5" s="221" t="n"/>
      <c r="E5" s="221" t="n"/>
      <c r="F5" s="221" t="n"/>
      <c r="G5" s="222" t="n"/>
      <c r="H5" s="220" t="inlineStr">
        <is>
          <t>VÁLVULA SOLENÓIDE</t>
        </is>
      </c>
      <c r="I5" s="221" t="n"/>
      <c r="J5" s="221" t="n"/>
      <c r="K5" s="221" t="n"/>
      <c r="L5" s="221" t="n"/>
      <c r="M5" s="221" t="n"/>
      <c r="N5" s="221" t="n"/>
      <c r="O5" s="221" t="n"/>
      <c r="P5" s="221" t="n"/>
      <c r="Q5" s="221" t="n"/>
      <c r="R5" s="221" t="n"/>
      <c r="S5" s="222" t="n"/>
    </row>
    <row r="6">
      <c r="A6" s="17" t="inlineStr">
        <is>
          <t>TAG / Quantidade</t>
        </is>
      </c>
      <c r="B6" s="167" t="inlineStr">
        <is>
          <t>XV-1715.2</t>
        </is>
      </c>
      <c r="C6" s="181" t="n"/>
      <c r="D6" s="181" t="n"/>
      <c r="E6" s="181" t="n"/>
      <c r="F6" s="181" t="n"/>
      <c r="G6" s="181" t="n"/>
      <c r="H6" s="18" t="inlineStr">
        <is>
          <t>TAG</t>
        </is>
      </c>
      <c r="I6" s="212" t="n"/>
      <c r="J6" s="212" t="n"/>
      <c r="K6" s="212" t="n"/>
      <c r="L6" s="212" t="n"/>
      <c r="M6" s="213" t="n"/>
      <c r="N6" s="223" t="n"/>
      <c r="O6" s="173" t="n"/>
      <c r="P6" s="173" t="n"/>
      <c r="Q6" s="173" t="n"/>
      <c r="R6" s="173" t="n"/>
      <c r="S6" s="177" t="n"/>
    </row>
    <row r="7">
      <c r="A7" s="3" t="inlineStr">
        <is>
          <t>Função</t>
        </is>
      </c>
      <c r="B7" s="158" t="n"/>
      <c r="C7" s="205" t="n"/>
      <c r="D7" s="205" t="n"/>
      <c r="E7" s="205" t="n"/>
      <c r="F7" s="205" t="n"/>
      <c r="G7" s="205" t="n"/>
      <c r="H7" s="3" t="inlineStr">
        <is>
          <t>Tipo</t>
        </is>
      </c>
      <c r="I7" s="205" t="n"/>
      <c r="J7" s="205" t="n"/>
      <c r="K7" s="205" t="n"/>
      <c r="L7" s="205" t="n"/>
      <c r="M7" s="206" t="n"/>
      <c r="N7" s="224" t="n"/>
      <c r="O7" s="184" t="n"/>
      <c r="P7" s="184" t="n"/>
      <c r="Q7" s="184" t="n"/>
      <c r="R7" s="184" t="n"/>
      <c r="S7" s="185" t="n"/>
    </row>
    <row r="8">
      <c r="A8" s="4" t="inlineStr">
        <is>
          <t>Fluxograma</t>
        </is>
      </c>
      <c r="B8" s="158" t="inlineStr">
        <is>
          <t>PHS2-PR27-1701-FL.01 Rev. 74I</t>
        </is>
      </c>
      <c r="C8" s="205" t="n"/>
      <c r="D8" s="205" t="n"/>
      <c r="E8" s="205" t="n"/>
      <c r="F8" s="205" t="n"/>
      <c r="G8" s="205" t="n"/>
      <c r="H8" s="3" t="inlineStr">
        <is>
          <t>Número de vias/posições</t>
        </is>
      </c>
      <c r="I8" s="205" t="n"/>
      <c r="J8" s="205" t="n"/>
      <c r="K8" s="205" t="n"/>
      <c r="L8" s="205" t="n"/>
      <c r="M8" s="206" t="n"/>
      <c r="N8" s="224" t="n"/>
      <c r="O8" s="184" t="n"/>
      <c r="P8" s="184" t="n"/>
      <c r="Q8" s="184" t="n"/>
      <c r="R8" s="184" t="n"/>
      <c r="S8" s="185" t="n"/>
    </row>
    <row r="9">
      <c r="A9" s="3" t="inlineStr">
        <is>
          <t>Bitola da linha</t>
        </is>
      </c>
      <c r="B9" s="158" t="n"/>
      <c r="C9" s="205" t="n"/>
      <c r="D9" s="205" t="n"/>
      <c r="E9" s="205" t="n"/>
      <c r="F9" s="205" t="n"/>
      <c r="G9" s="205" t="n"/>
      <c r="H9" s="3" t="inlineStr">
        <is>
          <t>Material do corpo</t>
        </is>
      </c>
      <c r="I9" s="205" t="n"/>
      <c r="J9" s="205" t="n"/>
      <c r="K9" s="205" t="n"/>
      <c r="L9" s="205" t="n"/>
      <c r="M9" s="206" t="n"/>
      <c r="N9" s="224" t="n"/>
      <c r="O9" s="184" t="n"/>
      <c r="P9" s="184" t="n"/>
      <c r="Q9" s="184" t="n"/>
      <c r="R9" s="184" t="n"/>
      <c r="S9" s="185" t="n"/>
    </row>
    <row r="10">
      <c r="A10" s="3" t="inlineStr">
        <is>
          <t>Tipo do corpo</t>
        </is>
      </c>
      <c r="B10" s="158" t="inlineStr">
        <is>
          <t>ESFERA AUTOMÁTICA</t>
        </is>
      </c>
      <c r="C10" s="205" t="n"/>
      <c r="D10" s="205" t="n"/>
      <c r="E10" s="205" t="n"/>
      <c r="F10" s="205" t="n"/>
      <c r="G10" s="205" t="n"/>
      <c r="H10" s="3" t="inlineStr">
        <is>
          <t>Classe da bobina</t>
        </is>
      </c>
      <c r="I10" s="205" t="n"/>
      <c r="J10" s="205" t="n"/>
      <c r="K10" s="205" t="n"/>
      <c r="L10" s="205" t="n"/>
      <c r="M10" s="206" t="n"/>
      <c r="N10" s="224" t="n"/>
      <c r="O10" s="184" t="n"/>
      <c r="P10" s="184" t="n"/>
      <c r="Q10" s="184" t="n"/>
      <c r="R10" s="184" t="n"/>
      <c r="S10" s="185" t="n"/>
    </row>
    <row r="11">
      <c r="A11" s="3" t="inlineStr">
        <is>
          <t>Material do corpo</t>
        </is>
      </c>
      <c r="B11" s="158" t="n"/>
      <c r="C11" s="205" t="n"/>
      <c r="D11" s="205" t="n"/>
      <c r="E11" s="205" t="n"/>
      <c r="F11" s="205" t="n"/>
      <c r="G11" s="205" t="n"/>
      <c r="H11" s="3" t="inlineStr">
        <is>
          <t>Número de bobinas</t>
        </is>
      </c>
      <c r="I11" s="205" t="n"/>
      <c r="J11" s="205" t="n"/>
      <c r="K11" s="205" t="n"/>
      <c r="L11" s="205" t="n"/>
      <c r="M11" s="206" t="n"/>
      <c r="N11" s="224" t="n"/>
      <c r="O11" s="184" t="n"/>
      <c r="P11" s="184" t="n"/>
      <c r="Q11" s="184" t="n"/>
      <c r="R11" s="184" t="n"/>
      <c r="S11" s="185" t="n"/>
    </row>
    <row r="12">
      <c r="A12" s="3" t="inlineStr">
        <is>
          <t>Diâmetro da válvula</t>
        </is>
      </c>
      <c r="B12" s="158" t="inlineStr">
        <is>
          <t>-</t>
        </is>
      </c>
      <c r="C12" s="205" t="n"/>
      <c r="D12" s="205" t="n"/>
      <c r="E12" s="205" t="n"/>
      <c r="F12" s="205" t="n"/>
      <c r="G12" s="205" t="n"/>
      <c r="H12" s="3" t="inlineStr">
        <is>
          <t>Conexão elétrica</t>
        </is>
      </c>
      <c r="I12" s="205" t="n"/>
      <c r="J12" s="205" t="n"/>
      <c r="K12" s="205" t="n"/>
      <c r="L12" s="205" t="n"/>
      <c r="M12" s="206" t="n"/>
      <c r="N12" s="224" t="n"/>
      <c r="O12" s="184" t="n"/>
      <c r="P12" s="184" t="n"/>
      <c r="Q12" s="184" t="n"/>
      <c r="R12" s="184" t="n"/>
      <c r="S12" s="185" t="n"/>
    </row>
    <row r="13">
      <c r="A13" s="3" t="inlineStr">
        <is>
          <t>Conexões e faceamento</t>
        </is>
      </c>
      <c r="B13" s="148" t="n"/>
      <c r="C13" s="205" t="n"/>
      <c r="D13" s="205" t="n"/>
      <c r="E13" s="205" t="n"/>
      <c r="F13" s="205" t="n"/>
      <c r="G13" s="205" t="n"/>
      <c r="H13" s="3" t="inlineStr">
        <is>
          <t>Conexão pneumática</t>
        </is>
      </c>
      <c r="I13" s="205" t="n"/>
      <c r="J13" s="205" t="n"/>
      <c r="K13" s="205" t="n"/>
      <c r="L13" s="205" t="n"/>
      <c r="M13" s="206" t="n"/>
      <c r="N13" s="224" t="n"/>
      <c r="O13" s="184" t="n"/>
      <c r="P13" s="184" t="n"/>
      <c r="Q13" s="184" t="n"/>
      <c r="R13" s="184" t="n"/>
      <c r="S13" s="185" t="n"/>
    </row>
    <row r="14">
      <c r="A14" s="3" t="inlineStr">
        <is>
          <t>Castelo</t>
        </is>
      </c>
      <c r="B14" s="148" t="n"/>
      <c r="C14" s="205" t="n"/>
      <c r="D14" s="205" t="n"/>
      <c r="E14" s="205" t="n"/>
      <c r="F14" s="205" t="n"/>
      <c r="G14" s="205" t="n"/>
      <c r="H14" s="3" t="inlineStr">
        <is>
          <t>Classificação da área</t>
        </is>
      </c>
      <c r="I14" s="205" t="n"/>
      <c r="J14" s="205" t="n"/>
      <c r="K14" s="205" t="n"/>
      <c r="L14" s="205" t="n"/>
      <c r="M14" s="206" t="n"/>
      <c r="N14" s="224" t="n"/>
      <c r="O14" s="184" t="n"/>
      <c r="P14" s="184" t="n"/>
      <c r="Q14" s="184" t="n"/>
      <c r="R14" s="184" t="n"/>
      <c r="S14" s="185" t="n"/>
    </row>
    <row r="15" ht="13.8" customHeight="1" thickBot="1">
      <c r="A15" s="16" t="inlineStr">
        <is>
          <t>Classe de vedação</t>
        </is>
      </c>
      <c r="B15" s="150" t="n"/>
      <c r="C15" s="184" t="n"/>
      <c r="D15" s="184" t="n"/>
      <c r="E15" s="184" t="n"/>
      <c r="F15" s="184" t="n"/>
      <c r="G15" s="184" t="n"/>
      <c r="H15" s="6" t="inlineStr">
        <is>
          <t>Classificação do invólucro</t>
        </is>
      </c>
      <c r="I15" s="208" t="n"/>
      <c r="J15" s="208" t="n"/>
      <c r="K15" s="208" t="n"/>
      <c r="L15" s="208" t="n"/>
      <c r="M15" s="209" t="n"/>
      <c r="N15" s="225" t="n"/>
      <c r="O15" s="208" t="n"/>
      <c r="P15" s="208" t="n"/>
      <c r="Q15" s="208" t="n"/>
      <c r="R15" s="208" t="n"/>
      <c r="S15" s="226" t="n"/>
    </row>
    <row r="16" ht="13.8" customHeight="1" thickBot="1">
      <c r="A16" s="220" t="inlineStr">
        <is>
          <t>INTERNOS</t>
        </is>
      </c>
      <c r="B16" s="221" t="n"/>
      <c r="C16" s="221" t="n"/>
      <c r="D16" s="221" t="n"/>
      <c r="E16" s="221" t="n"/>
      <c r="F16" s="221" t="n"/>
      <c r="G16" s="222" t="n"/>
      <c r="H16" s="220" t="inlineStr">
        <is>
          <t>FINS DE CURSO</t>
        </is>
      </c>
      <c r="I16" s="221" t="n"/>
      <c r="J16" s="221" t="n"/>
      <c r="K16" s="221" t="n"/>
      <c r="L16" s="221" t="n"/>
      <c r="M16" s="221" t="n"/>
      <c r="N16" s="221" t="n"/>
      <c r="O16" s="221" t="n"/>
      <c r="P16" s="221" t="n"/>
      <c r="Q16" s="221" t="n"/>
      <c r="R16" s="221" t="n"/>
      <c r="S16" s="222" t="n"/>
      <c r="X16" s="69" t="n"/>
      <c r="Y16" s="69" t="n"/>
      <c r="Z16" s="69" t="n"/>
    </row>
    <row r="17">
      <c r="A17" s="18" t="inlineStr">
        <is>
          <t>Material das gaxetas</t>
        </is>
      </c>
      <c r="B17" s="227" t="n"/>
      <c r="C17" s="212" t="n"/>
      <c r="D17" s="212" t="n"/>
      <c r="E17" s="212" t="n"/>
      <c r="F17" s="212" t="n"/>
      <c r="G17" s="214" t="n"/>
      <c r="H17" s="146" t="inlineStr">
        <is>
          <t>TAG</t>
        </is>
      </c>
      <c r="I17" s="181" t="n"/>
      <c r="J17" s="181" t="n"/>
      <c r="K17" s="181" t="n"/>
      <c r="L17" s="181" t="n"/>
      <c r="M17" s="202" t="n"/>
      <c r="N17" s="228" t="n"/>
      <c r="S17" s="192" t="n"/>
      <c r="X17" s="69" t="n"/>
      <c r="Z17" s="69" t="n"/>
    </row>
    <row r="18">
      <c r="A18" s="3" t="inlineStr">
        <is>
          <t>Sede</t>
        </is>
      </c>
      <c r="B18" s="229" t="n"/>
      <c r="C18" s="205" t="n"/>
      <c r="D18" s="205" t="n"/>
      <c r="E18" s="205" t="n"/>
      <c r="F18" s="205" t="n"/>
      <c r="G18" s="216" t="n"/>
      <c r="H18" s="130" t="inlineStr">
        <is>
          <t>Tipo</t>
        </is>
      </c>
      <c r="I18" s="205" t="n"/>
      <c r="J18" s="205" t="n"/>
      <c r="K18" s="205" t="n"/>
      <c r="L18" s="205" t="n"/>
      <c r="M18" s="206" t="n"/>
      <c r="N18" s="224" t="n"/>
      <c r="O18" s="184" t="n"/>
      <c r="P18" s="184" t="n"/>
      <c r="Q18" s="184" t="n"/>
      <c r="R18" s="184" t="n"/>
      <c r="S18" s="185" t="n"/>
      <c r="X18" s="69" t="n"/>
      <c r="Z18" s="69" t="n"/>
    </row>
    <row r="19">
      <c r="A19" s="5" t="inlineStr">
        <is>
          <t>Material do disco</t>
        </is>
      </c>
      <c r="B19" s="229" t="n"/>
      <c r="C19" s="205" t="n"/>
      <c r="D19" s="205" t="n"/>
      <c r="E19" s="205" t="n"/>
      <c r="F19" s="205" t="n"/>
      <c r="G19" s="216" t="n"/>
      <c r="H19" s="130" t="inlineStr">
        <is>
          <t>Quantidade</t>
        </is>
      </c>
      <c r="I19" s="205" t="n"/>
      <c r="J19" s="205" t="n"/>
      <c r="K19" s="205" t="n"/>
      <c r="L19" s="205" t="n"/>
      <c r="M19" s="206" t="n"/>
      <c r="N19" s="224" t="n"/>
      <c r="O19" s="184" t="n"/>
      <c r="P19" s="184" t="n"/>
      <c r="Q19" s="184" t="n"/>
      <c r="R19" s="184" t="n"/>
      <c r="S19" s="185" t="n"/>
      <c r="X19" s="69" t="n"/>
      <c r="Z19" s="69" t="n"/>
    </row>
    <row r="20">
      <c r="A20" s="5" t="inlineStr">
        <is>
          <t>Material da haste</t>
        </is>
      </c>
      <c r="B20" s="229" t="n"/>
      <c r="C20" s="205" t="n"/>
      <c r="D20" s="205" t="n"/>
      <c r="E20" s="205" t="n"/>
      <c r="F20" s="205" t="n"/>
      <c r="G20" s="216" t="n"/>
      <c r="H20" s="130" t="inlineStr">
        <is>
          <t>Tipo dos contatos</t>
        </is>
      </c>
      <c r="I20" s="205" t="n"/>
      <c r="J20" s="205" t="n"/>
      <c r="K20" s="205" t="n"/>
      <c r="L20" s="205" t="n"/>
      <c r="M20" s="206" t="n"/>
      <c r="N20" s="224" t="n"/>
      <c r="O20" s="184" t="n"/>
      <c r="P20" s="184" t="n"/>
      <c r="Q20" s="184" t="n"/>
      <c r="R20" s="184" t="n"/>
      <c r="S20" s="185" t="n"/>
      <c r="X20" s="69" t="n"/>
      <c r="Z20" s="69" t="n"/>
    </row>
    <row r="21">
      <c r="A21" s="3" t="inlineStr">
        <is>
          <t>Obturador balanceado</t>
        </is>
      </c>
      <c r="B21" s="229" t="n"/>
      <c r="C21" s="205" t="n"/>
      <c r="D21" s="205" t="n"/>
      <c r="E21" s="205" t="n"/>
      <c r="F21" s="205" t="n"/>
      <c r="G21" s="216" t="n"/>
      <c r="H21" s="130" t="inlineStr">
        <is>
          <t>Conexão elétrica</t>
        </is>
      </c>
      <c r="I21" s="205" t="n"/>
      <c r="J21" s="205" t="n"/>
      <c r="K21" s="205" t="n"/>
      <c r="L21" s="205" t="n"/>
      <c r="M21" s="206" t="n"/>
      <c r="N21" s="224" t="n"/>
      <c r="O21" s="184" t="n"/>
      <c r="P21" s="184" t="n"/>
      <c r="Q21" s="184" t="n"/>
      <c r="R21" s="184" t="n"/>
      <c r="S21" s="185" t="n"/>
      <c r="X21" s="69" t="n"/>
      <c r="Z21" s="69" t="n"/>
    </row>
    <row r="22">
      <c r="A22" s="3" t="inlineStr">
        <is>
          <t>Direção do fluxo</t>
        </is>
      </c>
      <c r="B22" s="229" t="n"/>
      <c r="C22" s="205" t="n"/>
      <c r="D22" s="205" t="n"/>
      <c r="E22" s="205" t="n"/>
      <c r="F22" s="205" t="n"/>
      <c r="G22" s="216" t="n"/>
      <c r="H22" s="130" t="inlineStr">
        <is>
          <t>Classificação de área</t>
        </is>
      </c>
      <c r="I22" s="205" t="n"/>
      <c r="J22" s="205" t="n"/>
      <c r="K22" s="205" t="n"/>
      <c r="L22" s="205" t="n"/>
      <c r="M22" s="206" t="n"/>
      <c r="N22" s="224" t="n"/>
      <c r="O22" s="184" t="n"/>
      <c r="P22" s="184" t="n"/>
      <c r="Q22" s="184" t="n"/>
      <c r="R22" s="184" t="n"/>
      <c r="S22" s="185" t="n"/>
      <c r="X22" s="69" t="n"/>
      <c r="Z22" s="69" t="n"/>
    </row>
    <row r="23" ht="13.8" customHeight="1" thickBot="1">
      <c r="A23" s="6" t="inlineStr">
        <is>
          <t>Guias</t>
        </is>
      </c>
      <c r="B23" s="230" t="n"/>
      <c r="C23" s="208" t="n"/>
      <c r="D23" s="208" t="n"/>
      <c r="E23" s="208" t="n"/>
      <c r="F23" s="208" t="n"/>
      <c r="G23" s="226" t="n"/>
      <c r="H23" s="147" t="inlineStr">
        <is>
          <t>Classificação do invólucro</t>
        </is>
      </c>
      <c r="I23" s="184" t="n"/>
      <c r="J23" s="184" t="n"/>
      <c r="K23" s="184" t="n"/>
      <c r="L23" s="184" t="n"/>
      <c r="M23" s="231" t="n"/>
      <c r="N23" s="224" t="n"/>
      <c r="O23" s="184" t="n"/>
      <c r="P23" s="184" t="n"/>
      <c r="Q23" s="184" t="n"/>
      <c r="R23" s="184" t="n"/>
      <c r="S23" s="185" t="n"/>
      <c r="X23" s="69" t="n"/>
      <c r="Z23" s="69" t="n"/>
    </row>
    <row r="24" ht="13.8" customHeight="1" thickBot="1">
      <c r="A24" s="220" t="inlineStr">
        <is>
          <t>ATUADOR</t>
        </is>
      </c>
      <c r="B24" s="221" t="n"/>
      <c r="C24" s="221" t="n"/>
      <c r="D24" s="221" t="n"/>
      <c r="E24" s="221" t="n"/>
      <c r="F24" s="221" t="n"/>
      <c r="G24" s="222" t="n"/>
      <c r="H24" s="220" t="inlineStr">
        <is>
          <t>DADOS DE PROCESSO</t>
        </is>
      </c>
      <c r="I24" s="221" t="n"/>
      <c r="J24" s="221" t="n"/>
      <c r="K24" s="221" t="n"/>
      <c r="L24" s="221" t="n"/>
      <c r="M24" s="221" t="n"/>
      <c r="N24" s="221" t="n"/>
      <c r="O24" s="221" t="n"/>
      <c r="P24" s="221" t="n"/>
      <c r="Q24" s="221" t="n"/>
      <c r="R24" s="221" t="n"/>
      <c r="S24" s="222" t="n"/>
    </row>
    <row r="25">
      <c r="A25" s="17" t="inlineStr">
        <is>
          <t>Tipo</t>
        </is>
      </c>
      <c r="B25" s="152" t="n"/>
      <c r="C25" s="181" t="n"/>
      <c r="D25" s="181" t="n"/>
      <c r="E25" s="181" t="n"/>
      <c r="F25" s="181" t="n"/>
      <c r="G25" s="181" t="n"/>
      <c r="H25" s="18" t="inlineStr">
        <is>
          <t>Fluido</t>
        </is>
      </c>
      <c r="I25" s="212" t="n"/>
      <c r="J25" s="212" t="n"/>
      <c r="K25" s="212" t="n"/>
      <c r="L25" s="212" t="n"/>
      <c r="M25" s="213" t="n"/>
      <c r="N25" s="232" t="inlineStr">
        <is>
          <t>(NOTA 1)</t>
        </is>
      </c>
      <c r="O25" s="173" t="n"/>
      <c r="P25" s="173" t="n"/>
      <c r="Q25" s="173" t="n"/>
      <c r="R25" s="173" t="n"/>
      <c r="S25" s="177" t="n"/>
    </row>
    <row r="26">
      <c r="A26" s="3" t="inlineStr">
        <is>
          <t>Range</t>
        </is>
      </c>
      <c r="B26" s="148" t="n"/>
      <c r="C26" s="205" t="n"/>
      <c r="D26" s="205" t="n"/>
      <c r="E26" s="205" t="n"/>
      <c r="F26" s="205" t="n"/>
      <c r="G26" s="205" t="n"/>
      <c r="H26" s="3" t="inlineStr">
        <is>
          <t>Estado físico</t>
        </is>
      </c>
      <c r="I26" s="205" t="n"/>
      <c r="J26" s="205" t="n"/>
      <c r="K26" s="205" t="n"/>
      <c r="L26" s="205" t="n"/>
      <c r="M26" s="206" t="n"/>
      <c r="N26" s="233" t="n"/>
      <c r="O26" s="184" t="n"/>
      <c r="P26" s="184" t="n"/>
      <c r="Q26" s="184" t="n"/>
      <c r="R26" s="184" t="n"/>
      <c r="S26" s="185" t="n"/>
    </row>
    <row r="27">
      <c r="A27" s="3" t="inlineStr">
        <is>
          <t>Volante</t>
        </is>
      </c>
      <c r="B27" s="148" t="n"/>
      <c r="C27" s="205" t="n"/>
      <c r="D27" s="205" t="n"/>
      <c r="E27" s="205" t="n"/>
      <c r="F27" s="205" t="n"/>
      <c r="G27" s="205" t="n"/>
      <c r="H27" s="3" t="inlineStr">
        <is>
          <t>Pressão de entrada</t>
        </is>
      </c>
      <c r="I27" s="205" t="n"/>
      <c r="J27" s="205" t="n"/>
      <c r="K27" s="205" t="n"/>
      <c r="L27" s="205" t="n"/>
      <c r="M27" s="206" t="n"/>
      <c r="N27" s="233" t="inlineStr">
        <is>
          <t>3,00</t>
        </is>
      </c>
      <c r="O27" s="184" t="n"/>
      <c r="P27" s="184" t="n"/>
      <c r="Q27" s="184" t="n"/>
      <c r="R27" s="184" t="n"/>
      <c r="S27" s="185" t="n"/>
    </row>
    <row r="28">
      <c r="A28" s="3" t="inlineStr">
        <is>
          <t>Ação em caso de falha</t>
        </is>
      </c>
      <c r="B28" s="148" t="n"/>
      <c r="C28" s="205" t="n"/>
      <c r="D28" s="205" t="n"/>
      <c r="E28" s="205" t="n"/>
      <c r="F28" s="205" t="n"/>
      <c r="G28" s="205" t="n"/>
      <c r="H28" s="3" t="inlineStr">
        <is>
          <t>Pressão de saída</t>
        </is>
      </c>
      <c r="I28" s="205" t="n"/>
      <c r="J28" s="205" t="n"/>
      <c r="K28" s="205" t="n"/>
      <c r="L28" s="205" t="n"/>
      <c r="M28" s="206" t="n"/>
      <c r="N28" s="233" t="n"/>
      <c r="O28" s="184" t="n"/>
      <c r="P28" s="184" t="n"/>
      <c r="Q28" s="184" t="n"/>
      <c r="R28" s="184" t="n"/>
      <c r="S28" s="185" t="n"/>
    </row>
    <row r="29" ht="13.8" customHeight="1" thickBot="1">
      <c r="A29" s="16" t="inlineStr">
        <is>
          <t>Pressão suprimento de ar (min/max)</t>
        </is>
      </c>
      <c r="B29" s="150" t="n"/>
      <c r="C29" s="184" t="n"/>
      <c r="D29" s="184" t="n"/>
      <c r="E29" s="184" t="n"/>
      <c r="F29" s="184" t="n"/>
      <c r="G29" s="184" t="n"/>
      <c r="H29" s="3" t="inlineStr">
        <is>
          <t>Viscosidade</t>
        </is>
      </c>
      <c r="I29" s="205" t="n"/>
      <c r="J29" s="205" t="n"/>
      <c r="K29" s="205" t="n"/>
      <c r="L29" s="205" t="n"/>
      <c r="M29" s="206" t="n"/>
      <c r="N29" s="233" t="inlineStr">
        <is>
          <t>&lt;50 cP</t>
        </is>
      </c>
      <c r="O29" s="184" t="n"/>
      <c r="P29" s="184" t="n"/>
      <c r="Q29" s="184" t="n"/>
      <c r="R29" s="184" t="n"/>
      <c r="S29" s="185" t="n"/>
    </row>
    <row r="30" ht="13.8" customHeight="1" thickBot="1">
      <c r="A30" s="142" t="inlineStr">
        <is>
          <t>POSICIONADOR</t>
        </is>
      </c>
      <c r="B30" s="221" t="n"/>
      <c r="C30" s="221" t="n"/>
      <c r="D30" s="221" t="n"/>
      <c r="E30" s="221" t="n"/>
      <c r="F30" s="221" t="n"/>
      <c r="G30" s="221" t="n"/>
      <c r="H30" s="3" t="inlineStr">
        <is>
          <t>Vazão normal</t>
        </is>
      </c>
      <c r="I30" s="205" t="n"/>
      <c r="J30" s="205" t="n"/>
      <c r="K30" s="205" t="n"/>
      <c r="L30" s="205" t="n"/>
      <c r="M30" s="206" t="n"/>
      <c r="N30" s="233" t="n"/>
      <c r="O30" s="184" t="n"/>
      <c r="P30" s="184" t="n"/>
      <c r="Q30" s="184" t="n"/>
      <c r="R30" s="184" t="n"/>
      <c r="S30" s="185" t="n"/>
    </row>
    <row r="31">
      <c r="A31" s="17" t="inlineStr">
        <is>
          <t>Tipo</t>
        </is>
      </c>
      <c r="B31" s="152" t="n"/>
      <c r="C31" s="181" t="n"/>
      <c r="D31" s="181" t="n"/>
      <c r="E31" s="181" t="n"/>
      <c r="F31" s="181" t="n"/>
      <c r="G31" s="181" t="n"/>
      <c r="H31" s="3" t="inlineStr">
        <is>
          <t>Vazão máxima</t>
        </is>
      </c>
      <c r="I31" s="205" t="n"/>
      <c r="J31" s="205" t="n"/>
      <c r="K31" s="205" t="n"/>
      <c r="L31" s="205" t="n"/>
      <c r="M31" s="206" t="n"/>
      <c r="N31" s="233" t="inlineStr">
        <is>
          <t>30.0</t>
        </is>
      </c>
      <c r="O31" s="184" t="n"/>
      <c r="P31" s="184" t="n"/>
      <c r="Q31" s="184" t="n"/>
      <c r="R31" s="184" t="n"/>
      <c r="S31" s="185" t="n"/>
    </row>
    <row r="32">
      <c r="A32" s="3" t="inlineStr">
        <is>
          <t>By-pass</t>
        </is>
      </c>
      <c r="B32" s="148" t="n"/>
      <c r="C32" s="205" t="n"/>
      <c r="D32" s="205" t="n"/>
      <c r="E32" s="205" t="n"/>
      <c r="F32" s="205" t="n"/>
      <c r="G32" s="205" t="n"/>
      <c r="H32" s="3" t="inlineStr">
        <is>
          <t>Vazão mínima</t>
        </is>
      </c>
      <c r="I32" s="205" t="n"/>
      <c r="J32" s="205" t="n"/>
      <c r="K32" s="205" t="n"/>
      <c r="L32" s="205" t="n"/>
      <c r="M32" s="206" t="n"/>
      <c r="N32" s="233" t="inlineStr">
        <is>
          <t>15.0</t>
        </is>
      </c>
      <c r="O32" s="184" t="n"/>
      <c r="P32" s="184" t="n"/>
      <c r="Q32" s="184" t="n"/>
      <c r="R32" s="184" t="n"/>
      <c r="S32" s="185" t="n"/>
    </row>
    <row r="33">
      <c r="A33" s="3" t="inlineStr">
        <is>
          <t>Manômetros quantidade</t>
        </is>
      </c>
      <c r="B33" s="148" t="n"/>
      <c r="C33" s="205" t="n"/>
      <c r="D33" s="205" t="n"/>
      <c r="E33" s="205" t="n"/>
      <c r="F33" s="205" t="n"/>
      <c r="G33" s="205" t="n"/>
      <c r="H33" s="3" t="inlineStr">
        <is>
          <t>Pressão shut off</t>
        </is>
      </c>
      <c r="I33" s="205" t="n"/>
      <c r="J33" s="205" t="n"/>
      <c r="K33" s="205" t="n"/>
      <c r="L33" s="205" t="n"/>
      <c r="M33" s="206" t="n"/>
      <c r="N33" s="233" t="n"/>
      <c r="O33" s="184" t="n"/>
      <c r="P33" s="184" t="n"/>
      <c r="Q33" s="184" t="n"/>
      <c r="R33" s="184" t="n"/>
      <c r="S33" s="185" t="n"/>
    </row>
    <row r="34">
      <c r="A34" s="3" t="inlineStr">
        <is>
          <t>Sinal de entrada</t>
        </is>
      </c>
      <c r="B34" s="148" t="n"/>
      <c r="C34" s="205" t="n"/>
      <c r="D34" s="205" t="n"/>
      <c r="E34" s="205" t="n"/>
      <c r="F34" s="205" t="n"/>
      <c r="G34" s="205" t="n"/>
      <c r="H34" s="3" t="inlineStr">
        <is>
          <t>Temperatura máxima</t>
        </is>
      </c>
      <c r="I34" s="205" t="n"/>
      <c r="J34" s="205" t="n"/>
      <c r="K34" s="205" t="n"/>
      <c r="L34" s="205" t="n"/>
      <c r="M34" s="206" t="n"/>
      <c r="N34" s="233" t="inlineStr">
        <is>
          <t>35</t>
        </is>
      </c>
      <c r="O34" s="184" t="n"/>
      <c r="P34" s="184" t="n"/>
      <c r="Q34" s="184" t="n"/>
      <c r="R34" s="184" t="n"/>
      <c r="S34" s="185" t="n"/>
    </row>
    <row r="35">
      <c r="A35" s="3" t="inlineStr">
        <is>
          <t>Sial de saída</t>
        </is>
      </c>
      <c r="B35" s="148" t="n"/>
      <c r="C35" s="205" t="n"/>
      <c r="D35" s="205" t="n"/>
      <c r="E35" s="205" t="n"/>
      <c r="F35" s="205" t="n"/>
      <c r="G35" s="205" t="n"/>
      <c r="H35" s="3" t="inlineStr">
        <is>
          <t>Temperatura normal</t>
        </is>
      </c>
      <c r="I35" s="205" t="n"/>
      <c r="J35" s="205" t="n"/>
      <c r="K35" s="205" t="n"/>
      <c r="L35" s="205" t="n"/>
      <c r="M35" s="206" t="n"/>
      <c r="N35" s="233" t="n"/>
      <c r="O35" s="184" t="n"/>
      <c r="P35" s="184" t="n"/>
      <c r="Q35" s="184" t="n"/>
      <c r="R35" s="184" t="n"/>
      <c r="S35" s="185" t="n"/>
    </row>
    <row r="36">
      <c r="A36" s="3" t="inlineStr">
        <is>
          <t>Característica do came</t>
        </is>
      </c>
      <c r="B36" s="148" t="n"/>
      <c r="C36" s="205" t="n"/>
      <c r="D36" s="205" t="n"/>
      <c r="E36" s="205" t="n"/>
      <c r="F36" s="205" t="n"/>
      <c r="G36" s="205" t="n"/>
      <c r="H36" s="3" t="inlineStr">
        <is>
          <t>Massa específica</t>
        </is>
      </c>
      <c r="I36" s="205" t="n"/>
      <c r="J36" s="205" t="n"/>
      <c r="K36" s="205" t="n"/>
      <c r="L36" s="205" t="n"/>
      <c r="M36" s="206" t="n"/>
      <c r="N36" s="233" t="inlineStr">
        <is>
          <t>1120 kg/m³</t>
        </is>
      </c>
      <c r="O36" s="184" t="n"/>
      <c r="P36" s="184" t="n"/>
      <c r="Q36" s="184" t="n"/>
      <c r="R36" s="184" t="n"/>
      <c r="S36" s="185" t="n"/>
    </row>
    <row r="37" ht="13.8" customHeight="1" thickBot="1">
      <c r="A37" s="16" t="inlineStr">
        <is>
          <t>Alimentação de ar</t>
        </is>
      </c>
      <c r="B37" s="150" t="n"/>
      <c r="C37" s="184" t="n"/>
      <c r="D37" s="184" t="n"/>
      <c r="E37" s="184" t="n"/>
      <c r="F37" s="184" t="n"/>
      <c r="G37" s="184" t="n"/>
      <c r="H37" s="3" t="inlineStr">
        <is>
          <t>Cv calculado (máximo) / % abertura</t>
        </is>
      </c>
      <c r="I37" s="205" t="n"/>
      <c r="J37" s="205" t="n"/>
      <c r="K37" s="205" t="n"/>
      <c r="L37" s="205" t="n"/>
      <c r="M37" s="206" t="n"/>
      <c r="N37" s="224" t="n"/>
      <c r="O37" s="184" t="n"/>
      <c r="P37" s="184" t="n"/>
      <c r="Q37" s="184" t="n"/>
      <c r="R37" s="184" t="n"/>
      <c r="S37" s="185" t="n"/>
    </row>
    <row r="38" ht="13.8" customHeight="1" thickBot="1">
      <c r="A38" s="142" t="inlineStr">
        <is>
          <t>ACESSÓRIOS</t>
        </is>
      </c>
      <c r="B38" s="221" t="n"/>
      <c r="C38" s="221" t="n"/>
      <c r="D38" s="221" t="n"/>
      <c r="E38" s="221" t="n"/>
      <c r="F38" s="221" t="n"/>
      <c r="G38" s="221" t="n"/>
      <c r="H38" s="3" t="inlineStr">
        <is>
          <t>Cv calculado (normal) / % abertura</t>
        </is>
      </c>
      <c r="I38" s="205" t="n"/>
      <c r="J38" s="205" t="n"/>
      <c r="K38" s="205" t="n"/>
      <c r="L38" s="205" t="n"/>
      <c r="M38" s="206" t="n"/>
      <c r="N38" s="224" t="n"/>
      <c r="O38" s="184" t="n"/>
      <c r="P38" s="184" t="n"/>
      <c r="Q38" s="184" t="n"/>
      <c r="R38" s="184" t="n"/>
      <c r="S38" s="185" t="n"/>
    </row>
    <row r="39">
      <c r="A39" s="17" t="inlineStr">
        <is>
          <t>Filtro / Filtro regulador</t>
        </is>
      </c>
      <c r="B39" s="152" t="n"/>
      <c r="C39" s="181" t="n"/>
      <c r="D39" s="181" t="n"/>
      <c r="E39" s="181" t="n"/>
      <c r="F39" s="181" t="n"/>
      <c r="G39" s="181" t="n"/>
      <c r="H39" s="3" t="inlineStr">
        <is>
          <t>Cv calculado (mínimo) / % abertura</t>
        </is>
      </c>
      <c r="I39" s="205" t="n"/>
      <c r="J39" s="205" t="n"/>
      <c r="K39" s="205" t="n"/>
      <c r="L39" s="205" t="n"/>
      <c r="M39" s="206" t="n"/>
      <c r="N39" s="224" t="n"/>
      <c r="O39" s="184" t="n"/>
      <c r="P39" s="184" t="n"/>
      <c r="Q39" s="184" t="n"/>
      <c r="R39" s="184" t="n"/>
      <c r="S39" s="185" t="n"/>
    </row>
    <row r="40">
      <c r="A40" s="3" t="inlineStr">
        <is>
          <t>Manômetro para o regulador</t>
        </is>
      </c>
      <c r="B40" s="148" t="n"/>
      <c r="C40" s="205" t="n"/>
      <c r="D40" s="205" t="n"/>
      <c r="E40" s="205" t="n"/>
      <c r="F40" s="205" t="n"/>
      <c r="G40" s="205" t="n"/>
      <c r="H40" s="3" t="inlineStr">
        <is>
          <t>Cv selecionado</t>
        </is>
      </c>
      <c r="I40" s="205" t="n"/>
      <c r="J40" s="205" t="n"/>
      <c r="K40" s="205" t="n"/>
      <c r="L40" s="205" t="n"/>
      <c r="M40" s="206" t="n"/>
      <c r="N40" s="224" t="n"/>
      <c r="O40" s="184" t="n"/>
      <c r="P40" s="184" t="n"/>
      <c r="Q40" s="184" t="n"/>
      <c r="R40" s="184" t="n"/>
      <c r="S40" s="185" t="n"/>
    </row>
    <row r="41" ht="13.8" customHeight="1" thickBot="1">
      <c r="A41" s="6" t="inlineStr">
        <is>
          <t>Posição do volante</t>
        </is>
      </c>
      <c r="B41" s="154" t="n"/>
      <c r="C41" s="208" t="n"/>
      <c r="D41" s="208" t="n"/>
      <c r="E41" s="208" t="n"/>
      <c r="F41" s="208" t="n"/>
      <c r="G41" s="208" t="n"/>
      <c r="H41" s="6" t="inlineStr">
        <is>
          <t>Nível de ruído</t>
        </is>
      </c>
      <c r="I41" s="208" t="n"/>
      <c r="J41" s="208" t="n"/>
      <c r="K41" s="208" t="n"/>
      <c r="L41" s="208" t="n"/>
      <c r="M41" s="209" t="n"/>
      <c r="N41" s="225" t="n"/>
      <c r="O41" s="208" t="n"/>
      <c r="P41" s="208" t="n"/>
      <c r="Q41" s="208" t="n"/>
      <c r="R41" s="208" t="n"/>
      <c r="S41" s="226" t="n"/>
    </row>
    <row r="42">
      <c r="A42" s="234" t="inlineStr">
        <is>
          <t>Notas:</t>
        </is>
      </c>
      <c r="B42" s="173" t="n"/>
      <c r="C42" s="173" t="n"/>
      <c r="D42" s="173" t="n"/>
      <c r="E42" s="173" t="n"/>
      <c r="F42" s="173" t="n"/>
      <c r="G42" s="173" t="n"/>
      <c r="H42" s="173" t="n"/>
      <c r="I42" s="173" t="n"/>
      <c r="J42" s="173" t="n"/>
      <c r="K42" s="173" t="n"/>
      <c r="L42" s="173" t="n"/>
      <c r="M42" s="173" t="n"/>
      <c r="N42" s="173" t="n"/>
      <c r="O42" s="173" t="n"/>
      <c r="P42" s="173" t="n"/>
      <c r="Q42" s="173" t="n"/>
      <c r="R42" s="173" t="n"/>
      <c r="S42" s="177" t="n"/>
    </row>
    <row r="43" ht="13.8" customHeight="1" thickBot="1">
      <c r="A43" s="235" t="inlineStr">
        <is>
          <t>(NOTA 1): CRESTIVO (A16003E); BIRK 25% (A25191A); BIRTEA; CRESTIVO DUO</t>
        </is>
      </c>
      <c r="B43" s="197" t="n"/>
      <c r="C43" s="197" t="n"/>
      <c r="D43" s="197" t="n"/>
      <c r="E43" s="197" t="n"/>
      <c r="F43" s="197" t="n"/>
      <c r="G43" s="197" t="n"/>
      <c r="H43" s="197" t="n"/>
      <c r="I43" s="197" t="n"/>
      <c r="J43" s="197" t="n"/>
      <c r="K43" s="197" t="n"/>
      <c r="L43" s="197" t="n"/>
      <c r="M43" s="197" t="n"/>
      <c r="N43" s="197" t="n"/>
      <c r="O43" s="197" t="n"/>
      <c r="P43" s="197" t="n"/>
      <c r="Q43" s="197" t="n"/>
      <c r="R43" s="197" t="n"/>
      <c r="S43" s="199" t="n"/>
    </row>
    <row r="44">
      <c r="A44" s="7" t="n"/>
    </row>
    <row r="45">
      <c r="A45" s="2" t="n"/>
    </row>
    <row r="46">
      <c r="A46" s="2" t="n"/>
    </row>
    <row r="47">
      <c r="A47" s="2" t="n"/>
    </row>
    <row r="48">
      <c r="A48" s="2" t="n"/>
    </row>
    <row r="49">
      <c r="A49" s="2" t="n"/>
    </row>
    <row r="50">
      <c r="A50" s="2" t="n"/>
    </row>
    <row r="51">
      <c r="A51" s="2" t="n"/>
    </row>
    <row r="52">
      <c r="A52" s="2" t="n"/>
    </row>
    <row r="53">
      <c r="A53" s="2" t="n"/>
    </row>
    <row r="54">
      <c r="A54" s="2" t="n"/>
    </row>
  </sheetData>
  <mergeCells count="116">
    <mergeCell ref="H21:M21"/>
    <mergeCell ref="N23:S23"/>
    <mergeCell ref="B8:G8"/>
    <mergeCell ref="N18:S18"/>
    <mergeCell ref="A1:A4"/>
    <mergeCell ref="N8:S8"/>
    <mergeCell ref="H7:M7"/>
    <mergeCell ref="B10:G10"/>
    <mergeCell ref="N10:S10"/>
    <mergeCell ref="A30:G30"/>
    <mergeCell ref="H27:M27"/>
    <mergeCell ref="N34:S34"/>
    <mergeCell ref="H33:M33"/>
    <mergeCell ref="B36:G36"/>
    <mergeCell ref="N27:S27"/>
    <mergeCell ref="H5:S5"/>
    <mergeCell ref="N36:S36"/>
    <mergeCell ref="H35:M35"/>
    <mergeCell ref="N11:S11"/>
    <mergeCell ref="N20:S20"/>
    <mergeCell ref="B22:G22"/>
    <mergeCell ref="B31:G31"/>
    <mergeCell ref="N22:S22"/>
    <mergeCell ref="H9:M9"/>
    <mergeCell ref="B12:G12"/>
    <mergeCell ref="H39:M39"/>
    <mergeCell ref="B21:G21"/>
    <mergeCell ref="B39:G39"/>
    <mergeCell ref="N12:S12"/>
    <mergeCell ref="N21:S21"/>
    <mergeCell ref="B14:G14"/>
    <mergeCell ref="B23:G23"/>
    <mergeCell ref="N14:S14"/>
    <mergeCell ref="B13:G13"/>
    <mergeCell ref="A43:S43"/>
    <mergeCell ref="N38:S38"/>
    <mergeCell ref="H16:S16"/>
    <mergeCell ref="H32:M32"/>
    <mergeCell ref="H13:M13"/>
    <mergeCell ref="N40:S40"/>
    <mergeCell ref="B33:G33"/>
    <mergeCell ref="H15:M15"/>
    <mergeCell ref="H18:M18"/>
    <mergeCell ref="B41:G41"/>
    <mergeCell ref="B35:G35"/>
    <mergeCell ref="C2:S2"/>
    <mergeCell ref="H8:M8"/>
    <mergeCell ref="N26:S26"/>
    <mergeCell ref="N35:S35"/>
    <mergeCell ref="H26:M26"/>
    <mergeCell ref="B25:G25"/>
    <mergeCell ref="N25:S25"/>
    <mergeCell ref="H10:M10"/>
    <mergeCell ref="H41:M41"/>
    <mergeCell ref="B27:G27"/>
    <mergeCell ref="H34:M34"/>
    <mergeCell ref="H25:M25"/>
    <mergeCell ref="B11:G11"/>
    <mergeCell ref="A5:G5"/>
    <mergeCell ref="A42:S42"/>
    <mergeCell ref="H36:M36"/>
    <mergeCell ref="A38:G38"/>
    <mergeCell ref="H17:M17"/>
    <mergeCell ref="N39:S39"/>
    <mergeCell ref="H11:M11"/>
    <mergeCell ref="B29:G29"/>
    <mergeCell ref="N29:S29"/>
    <mergeCell ref="H19:M19"/>
    <mergeCell ref="H28:M28"/>
    <mergeCell ref="H37:M37"/>
    <mergeCell ref="A24:G24"/>
    <mergeCell ref="N13:S13"/>
    <mergeCell ref="B40:G40"/>
    <mergeCell ref="H12:M12"/>
    <mergeCell ref="N31:S31"/>
    <mergeCell ref="B15:G15"/>
    <mergeCell ref="J1:S1"/>
    <mergeCell ref="N6:S6"/>
    <mergeCell ref="N15:S15"/>
    <mergeCell ref="H24:S24"/>
    <mergeCell ref="H14:M14"/>
    <mergeCell ref="B32:G32"/>
    <mergeCell ref="H23:M23"/>
    <mergeCell ref="A16:G16"/>
    <mergeCell ref="B26:G26"/>
    <mergeCell ref="Y16:Y23"/>
    <mergeCell ref="B7:G7"/>
    <mergeCell ref="H38:M38"/>
    <mergeCell ref="N32:S32"/>
    <mergeCell ref="N7:S7"/>
    <mergeCell ref="N41:S41"/>
    <mergeCell ref="H40:M40"/>
    <mergeCell ref="B18:G18"/>
    <mergeCell ref="N33:S33"/>
    <mergeCell ref="B17:G17"/>
    <mergeCell ref="N17:S17"/>
    <mergeCell ref="B19:G19"/>
    <mergeCell ref="B34:G34"/>
    <mergeCell ref="B28:G28"/>
    <mergeCell ref="B37:G37"/>
    <mergeCell ref="N19:S19"/>
    <mergeCell ref="H22:M22"/>
    <mergeCell ref="B9:G9"/>
    <mergeCell ref="N28:S28"/>
    <mergeCell ref="N9:S9"/>
    <mergeCell ref="B6:G6"/>
    <mergeCell ref="B20:G20"/>
    <mergeCell ref="N30:S30"/>
    <mergeCell ref="B3:S4"/>
    <mergeCell ref="H30:M30"/>
    <mergeCell ref="H20:M20"/>
    <mergeCell ref="H29:M29"/>
    <mergeCell ref="B1:H1"/>
    <mergeCell ref="N37:S37"/>
    <mergeCell ref="H31:M31"/>
    <mergeCell ref="H6:M6"/>
  </mergeCells>
  <pageMargins left="0.25" right="0.25" top="0.75" bottom="0.75" header="0.3" footer="0.3"/>
  <pageSetup orientation="portrait" paperSize="9" scale="82"/>
</worksheet>
</file>

<file path=xl/worksheets/sheet15.xml><?xml version="1.0" encoding="utf-8"?>
<worksheet xmlns="http://schemas.openxmlformats.org/spreadsheetml/2006/main">
  <sheetPr codeName="Planilha2">
    <outlinePr summaryBelow="1" summaryRight="1"/>
    <pageSetUpPr fitToPage="1"/>
  </sheetPr>
  <dimension ref="A1:Z54"/>
  <sheetViews>
    <sheetView workbookViewId="0">
      <selection activeCell="A1" sqref="A1"/>
    </sheetView>
  </sheetViews>
  <sheetFormatPr baseColWidth="8" defaultRowHeight="13.2"/>
  <cols>
    <col width="35.109375" bestFit="1" customWidth="1" style="137" min="1" max="1"/>
    <col width="4.88671875" customWidth="1" style="137" min="2" max="19"/>
  </cols>
  <sheetData>
    <row r="1" ht="14.25" customHeight="1">
      <c r="A1" s="210">
        <f>_xlfn.IMAGE("https://technikgrupo.sharepoint.com/sites/transfer/Logos/Technik.png")</f>
        <v/>
      </c>
      <c r="B1" s="211" t="inlineStr">
        <is>
          <t>FOLHA DE DADOS</t>
        </is>
      </c>
      <c r="C1" s="212" t="n"/>
      <c r="D1" s="212" t="n"/>
      <c r="E1" s="212" t="n"/>
      <c r="F1" s="212" t="n"/>
      <c r="G1" s="212" t="n"/>
      <c r="H1" s="213" t="n"/>
      <c r="I1" s="19" t="inlineStr">
        <is>
          <t>Nº.:</t>
        </is>
      </c>
      <c r="J1" s="166">
        <f>"FD-"&amp;Config!D2&amp;"-"&amp;Config!F2&amp;"-001"</f>
        <v/>
      </c>
      <c r="K1" s="212" t="n"/>
      <c r="L1" s="212" t="n"/>
      <c r="M1" s="212" t="n"/>
      <c r="N1" s="212" t="n"/>
      <c r="O1" s="212" t="n"/>
      <c r="P1" s="212" t="n"/>
      <c r="Q1" s="212" t="n"/>
      <c r="R1" s="212" t="n"/>
      <c r="S1" s="214" t="n"/>
    </row>
    <row r="2" ht="14.25" customHeight="1">
      <c r="A2" s="215" t="n"/>
      <c r="B2" s="20" t="inlineStr">
        <is>
          <t>ÁREA:</t>
        </is>
      </c>
      <c r="C2" s="164" t="inlineStr">
        <is>
          <t>PÁTIO D3</t>
        </is>
      </c>
      <c r="D2" s="205" t="n"/>
      <c r="E2" s="205" t="n"/>
      <c r="F2" s="205" t="n"/>
      <c r="G2" s="205" t="n"/>
      <c r="H2" s="205" t="n"/>
      <c r="I2" s="205" t="n"/>
      <c r="J2" s="205" t="n"/>
      <c r="K2" s="205" t="n"/>
      <c r="L2" s="205" t="n"/>
      <c r="M2" s="205" t="n"/>
      <c r="N2" s="205" t="n"/>
      <c r="O2" s="205" t="n"/>
      <c r="P2" s="205" t="n"/>
      <c r="Q2" s="205" t="n"/>
      <c r="R2" s="205" t="n"/>
      <c r="S2" s="216" t="n"/>
    </row>
    <row r="3" ht="14.25" customHeight="1">
      <c r="A3" s="215" t="n"/>
      <c r="B3" s="217" t="inlineStr">
        <is>
          <t>VÁLVULA ON OFF</t>
        </is>
      </c>
      <c r="C3" s="184" t="n"/>
      <c r="D3" s="184" t="n"/>
      <c r="E3" s="184" t="n"/>
      <c r="F3" s="184" t="n"/>
      <c r="G3" s="184" t="n"/>
      <c r="H3" s="184" t="n"/>
      <c r="I3" s="184" t="n"/>
      <c r="J3" s="184" t="n"/>
      <c r="K3" s="184" t="n"/>
      <c r="L3" s="184" t="n"/>
      <c r="M3" s="184" t="n"/>
      <c r="N3" s="184" t="n"/>
      <c r="O3" s="184" t="n"/>
      <c r="P3" s="184" t="n"/>
      <c r="Q3" s="184" t="n"/>
      <c r="R3" s="184" t="n"/>
      <c r="S3" s="185" t="n"/>
    </row>
    <row r="4" ht="14.25" customHeight="1" thickBot="1">
      <c r="A4" s="218" t="n"/>
      <c r="B4" s="219" t="n"/>
      <c r="C4" s="197" t="n"/>
      <c r="D4" s="197" t="n"/>
      <c r="E4" s="197" t="n"/>
      <c r="F4" s="197" t="n"/>
      <c r="G4" s="197" t="n"/>
      <c r="H4" s="197" t="n"/>
      <c r="I4" s="197" t="n"/>
      <c r="J4" s="197" t="n"/>
      <c r="K4" s="197" t="n"/>
      <c r="L4" s="197" t="n"/>
      <c r="M4" s="197" t="n"/>
      <c r="N4" s="197" t="n"/>
      <c r="O4" s="197" t="n"/>
      <c r="P4" s="197" t="n"/>
      <c r="Q4" s="197" t="n"/>
      <c r="R4" s="197" t="n"/>
      <c r="S4" s="199" t="n"/>
    </row>
    <row r="5" ht="13.8" customHeight="1" thickBot="1">
      <c r="A5" s="220" t="inlineStr">
        <is>
          <t>GERAL</t>
        </is>
      </c>
      <c r="B5" s="221" t="n"/>
      <c r="C5" s="221" t="n"/>
      <c r="D5" s="221" t="n"/>
      <c r="E5" s="221" t="n"/>
      <c r="F5" s="221" t="n"/>
      <c r="G5" s="222" t="n"/>
      <c r="H5" s="220" t="inlineStr">
        <is>
          <t>VÁLVULA SOLENÓIDE</t>
        </is>
      </c>
      <c r="I5" s="221" t="n"/>
      <c r="J5" s="221" t="n"/>
      <c r="K5" s="221" t="n"/>
      <c r="L5" s="221" t="n"/>
      <c r="M5" s="221" t="n"/>
      <c r="N5" s="221" t="n"/>
      <c r="O5" s="221" t="n"/>
      <c r="P5" s="221" t="n"/>
      <c r="Q5" s="221" t="n"/>
      <c r="R5" s="221" t="n"/>
      <c r="S5" s="222" t="n"/>
    </row>
    <row r="6">
      <c r="A6" s="17" t="inlineStr">
        <is>
          <t>TAG / Quantidade</t>
        </is>
      </c>
      <c r="B6" s="167" t="inlineStr">
        <is>
          <t>XV-1715.3</t>
        </is>
      </c>
      <c r="C6" s="181" t="n"/>
      <c r="D6" s="181" t="n"/>
      <c r="E6" s="181" t="n"/>
      <c r="F6" s="181" t="n"/>
      <c r="G6" s="181" t="n"/>
      <c r="H6" s="18" t="inlineStr">
        <is>
          <t>TAG</t>
        </is>
      </c>
      <c r="I6" s="212" t="n"/>
      <c r="J6" s="212" t="n"/>
      <c r="K6" s="212" t="n"/>
      <c r="L6" s="212" t="n"/>
      <c r="M6" s="213" t="n"/>
      <c r="N6" s="223" t="n"/>
      <c r="O6" s="173" t="n"/>
      <c r="P6" s="173" t="n"/>
      <c r="Q6" s="173" t="n"/>
      <c r="R6" s="173" t="n"/>
      <c r="S6" s="177" t="n"/>
    </row>
    <row r="7">
      <c r="A7" s="3" t="inlineStr">
        <is>
          <t>Função</t>
        </is>
      </c>
      <c r="B7" s="158" t="n"/>
      <c r="C7" s="205" t="n"/>
      <c r="D7" s="205" t="n"/>
      <c r="E7" s="205" t="n"/>
      <c r="F7" s="205" t="n"/>
      <c r="G7" s="205" t="n"/>
      <c r="H7" s="3" t="inlineStr">
        <is>
          <t>Tipo</t>
        </is>
      </c>
      <c r="I7" s="205" t="n"/>
      <c r="J7" s="205" t="n"/>
      <c r="K7" s="205" t="n"/>
      <c r="L7" s="205" t="n"/>
      <c r="M7" s="206" t="n"/>
      <c r="N7" s="224" t="n"/>
      <c r="O7" s="184" t="n"/>
      <c r="P7" s="184" t="n"/>
      <c r="Q7" s="184" t="n"/>
      <c r="R7" s="184" t="n"/>
      <c r="S7" s="185" t="n"/>
    </row>
    <row r="8">
      <c r="A8" s="4" t="inlineStr">
        <is>
          <t>Fluxograma</t>
        </is>
      </c>
      <c r="B8" s="158" t="inlineStr">
        <is>
          <t>PHS2-PR27-1701-FL.01 Rev. 74I</t>
        </is>
      </c>
      <c r="C8" s="205" t="n"/>
      <c r="D8" s="205" t="n"/>
      <c r="E8" s="205" t="n"/>
      <c r="F8" s="205" t="n"/>
      <c r="G8" s="205" t="n"/>
      <c r="H8" s="3" t="inlineStr">
        <is>
          <t>Número de vias/posições</t>
        </is>
      </c>
      <c r="I8" s="205" t="n"/>
      <c r="J8" s="205" t="n"/>
      <c r="K8" s="205" t="n"/>
      <c r="L8" s="205" t="n"/>
      <c r="M8" s="206" t="n"/>
      <c r="N8" s="224" t="n"/>
      <c r="O8" s="184" t="n"/>
      <c r="P8" s="184" t="n"/>
      <c r="Q8" s="184" t="n"/>
      <c r="R8" s="184" t="n"/>
      <c r="S8" s="185" t="n"/>
    </row>
    <row r="9">
      <c r="A9" s="3" t="inlineStr">
        <is>
          <t>Bitola da linha</t>
        </is>
      </c>
      <c r="B9" s="158" t="n"/>
      <c r="C9" s="205" t="n"/>
      <c r="D9" s="205" t="n"/>
      <c r="E9" s="205" t="n"/>
      <c r="F9" s="205" t="n"/>
      <c r="G9" s="205" t="n"/>
      <c r="H9" s="3" t="inlineStr">
        <is>
          <t>Material do corpo</t>
        </is>
      </c>
      <c r="I9" s="205" t="n"/>
      <c r="J9" s="205" t="n"/>
      <c r="K9" s="205" t="n"/>
      <c r="L9" s="205" t="n"/>
      <c r="M9" s="206" t="n"/>
      <c r="N9" s="224" t="n"/>
      <c r="O9" s="184" t="n"/>
      <c r="P9" s="184" t="n"/>
      <c r="Q9" s="184" t="n"/>
      <c r="R9" s="184" t="n"/>
      <c r="S9" s="185" t="n"/>
    </row>
    <row r="10">
      <c r="A10" s="3" t="inlineStr">
        <is>
          <t>Tipo do corpo</t>
        </is>
      </c>
      <c r="B10" s="158" t="inlineStr">
        <is>
          <t>ESFERA AUTOMÁTICA</t>
        </is>
      </c>
      <c r="C10" s="205" t="n"/>
      <c r="D10" s="205" t="n"/>
      <c r="E10" s="205" t="n"/>
      <c r="F10" s="205" t="n"/>
      <c r="G10" s="205" t="n"/>
      <c r="H10" s="3" t="inlineStr">
        <is>
          <t>Classe da bobina</t>
        </is>
      </c>
      <c r="I10" s="205" t="n"/>
      <c r="J10" s="205" t="n"/>
      <c r="K10" s="205" t="n"/>
      <c r="L10" s="205" t="n"/>
      <c r="M10" s="206" t="n"/>
      <c r="N10" s="224" t="n"/>
      <c r="O10" s="184" t="n"/>
      <c r="P10" s="184" t="n"/>
      <c r="Q10" s="184" t="n"/>
      <c r="R10" s="184" t="n"/>
      <c r="S10" s="185" t="n"/>
    </row>
    <row r="11">
      <c r="A11" s="3" t="inlineStr">
        <is>
          <t>Material do corpo</t>
        </is>
      </c>
      <c r="B11" s="158" t="n"/>
      <c r="C11" s="205" t="n"/>
      <c r="D11" s="205" t="n"/>
      <c r="E11" s="205" t="n"/>
      <c r="F11" s="205" t="n"/>
      <c r="G11" s="205" t="n"/>
      <c r="H11" s="3" t="inlineStr">
        <is>
          <t>Número de bobinas</t>
        </is>
      </c>
      <c r="I11" s="205" t="n"/>
      <c r="J11" s="205" t="n"/>
      <c r="K11" s="205" t="n"/>
      <c r="L11" s="205" t="n"/>
      <c r="M11" s="206" t="n"/>
      <c r="N11" s="224" t="n"/>
      <c r="O11" s="184" t="n"/>
      <c r="P11" s="184" t="n"/>
      <c r="Q11" s="184" t="n"/>
      <c r="R11" s="184" t="n"/>
      <c r="S11" s="185" t="n"/>
    </row>
    <row r="12">
      <c r="A12" s="3" t="inlineStr">
        <is>
          <t>Diâmetro da válvula</t>
        </is>
      </c>
      <c r="B12" s="158" t="inlineStr">
        <is>
          <t>-</t>
        </is>
      </c>
      <c r="C12" s="205" t="n"/>
      <c r="D12" s="205" t="n"/>
      <c r="E12" s="205" t="n"/>
      <c r="F12" s="205" t="n"/>
      <c r="G12" s="205" t="n"/>
      <c r="H12" s="3" t="inlineStr">
        <is>
          <t>Conexão elétrica</t>
        </is>
      </c>
      <c r="I12" s="205" t="n"/>
      <c r="J12" s="205" t="n"/>
      <c r="K12" s="205" t="n"/>
      <c r="L12" s="205" t="n"/>
      <c r="M12" s="206" t="n"/>
      <c r="N12" s="224" t="n"/>
      <c r="O12" s="184" t="n"/>
      <c r="P12" s="184" t="n"/>
      <c r="Q12" s="184" t="n"/>
      <c r="R12" s="184" t="n"/>
      <c r="S12" s="185" t="n"/>
    </row>
    <row r="13">
      <c r="A13" s="3" t="inlineStr">
        <is>
          <t>Conexões e faceamento</t>
        </is>
      </c>
      <c r="B13" s="148" t="n"/>
      <c r="C13" s="205" t="n"/>
      <c r="D13" s="205" t="n"/>
      <c r="E13" s="205" t="n"/>
      <c r="F13" s="205" t="n"/>
      <c r="G13" s="205" t="n"/>
      <c r="H13" s="3" t="inlineStr">
        <is>
          <t>Conexão pneumática</t>
        </is>
      </c>
      <c r="I13" s="205" t="n"/>
      <c r="J13" s="205" t="n"/>
      <c r="K13" s="205" t="n"/>
      <c r="L13" s="205" t="n"/>
      <c r="M13" s="206" t="n"/>
      <c r="N13" s="224" t="n"/>
      <c r="O13" s="184" t="n"/>
      <c r="P13" s="184" t="n"/>
      <c r="Q13" s="184" t="n"/>
      <c r="R13" s="184" t="n"/>
      <c r="S13" s="185" t="n"/>
    </row>
    <row r="14">
      <c r="A14" s="3" t="inlineStr">
        <is>
          <t>Castelo</t>
        </is>
      </c>
      <c r="B14" s="148" t="n"/>
      <c r="C14" s="205" t="n"/>
      <c r="D14" s="205" t="n"/>
      <c r="E14" s="205" t="n"/>
      <c r="F14" s="205" t="n"/>
      <c r="G14" s="205" t="n"/>
      <c r="H14" s="3" t="inlineStr">
        <is>
          <t>Classificação da área</t>
        </is>
      </c>
      <c r="I14" s="205" t="n"/>
      <c r="J14" s="205" t="n"/>
      <c r="K14" s="205" t="n"/>
      <c r="L14" s="205" t="n"/>
      <c r="M14" s="206" t="n"/>
      <c r="N14" s="224" t="n"/>
      <c r="O14" s="184" t="n"/>
      <c r="P14" s="184" t="n"/>
      <c r="Q14" s="184" t="n"/>
      <c r="R14" s="184" t="n"/>
      <c r="S14" s="185" t="n"/>
    </row>
    <row r="15" ht="13.8" customHeight="1" thickBot="1">
      <c r="A15" s="16" t="inlineStr">
        <is>
          <t>Classe de vedação</t>
        </is>
      </c>
      <c r="B15" s="150" t="n"/>
      <c r="C15" s="184" t="n"/>
      <c r="D15" s="184" t="n"/>
      <c r="E15" s="184" t="n"/>
      <c r="F15" s="184" t="n"/>
      <c r="G15" s="184" t="n"/>
      <c r="H15" s="6" t="inlineStr">
        <is>
          <t>Classificação do invólucro</t>
        </is>
      </c>
      <c r="I15" s="208" t="n"/>
      <c r="J15" s="208" t="n"/>
      <c r="K15" s="208" t="n"/>
      <c r="L15" s="208" t="n"/>
      <c r="M15" s="209" t="n"/>
      <c r="N15" s="225" t="n"/>
      <c r="O15" s="208" t="n"/>
      <c r="P15" s="208" t="n"/>
      <c r="Q15" s="208" t="n"/>
      <c r="R15" s="208" t="n"/>
      <c r="S15" s="226" t="n"/>
    </row>
    <row r="16" ht="13.8" customHeight="1" thickBot="1">
      <c r="A16" s="220" t="inlineStr">
        <is>
          <t>INTERNOS</t>
        </is>
      </c>
      <c r="B16" s="221" t="n"/>
      <c r="C16" s="221" t="n"/>
      <c r="D16" s="221" t="n"/>
      <c r="E16" s="221" t="n"/>
      <c r="F16" s="221" t="n"/>
      <c r="G16" s="222" t="n"/>
      <c r="H16" s="220" t="inlineStr">
        <is>
          <t>FINS DE CURSO</t>
        </is>
      </c>
      <c r="I16" s="221" t="n"/>
      <c r="J16" s="221" t="n"/>
      <c r="K16" s="221" t="n"/>
      <c r="L16" s="221" t="n"/>
      <c r="M16" s="221" t="n"/>
      <c r="N16" s="221" t="n"/>
      <c r="O16" s="221" t="n"/>
      <c r="P16" s="221" t="n"/>
      <c r="Q16" s="221" t="n"/>
      <c r="R16" s="221" t="n"/>
      <c r="S16" s="222" t="n"/>
      <c r="X16" s="69" t="n"/>
      <c r="Y16" s="69" t="n"/>
      <c r="Z16" s="69" t="n"/>
    </row>
    <row r="17">
      <c r="A17" s="18" t="inlineStr">
        <is>
          <t>Material das gaxetas</t>
        </is>
      </c>
      <c r="B17" s="227" t="n"/>
      <c r="C17" s="212" t="n"/>
      <c r="D17" s="212" t="n"/>
      <c r="E17" s="212" t="n"/>
      <c r="F17" s="212" t="n"/>
      <c r="G17" s="214" t="n"/>
      <c r="H17" s="146" t="inlineStr">
        <is>
          <t>TAG</t>
        </is>
      </c>
      <c r="I17" s="181" t="n"/>
      <c r="J17" s="181" t="n"/>
      <c r="K17" s="181" t="n"/>
      <c r="L17" s="181" t="n"/>
      <c r="M17" s="202" t="n"/>
      <c r="N17" s="228" t="n"/>
      <c r="S17" s="192" t="n"/>
      <c r="X17" s="69" t="n"/>
      <c r="Z17" s="69" t="n"/>
    </row>
    <row r="18">
      <c r="A18" s="3" t="inlineStr">
        <is>
          <t>Sede</t>
        </is>
      </c>
      <c r="B18" s="229" t="n"/>
      <c r="C18" s="205" t="n"/>
      <c r="D18" s="205" t="n"/>
      <c r="E18" s="205" t="n"/>
      <c r="F18" s="205" t="n"/>
      <c r="G18" s="216" t="n"/>
      <c r="H18" s="130" t="inlineStr">
        <is>
          <t>Tipo</t>
        </is>
      </c>
      <c r="I18" s="205" t="n"/>
      <c r="J18" s="205" t="n"/>
      <c r="K18" s="205" t="n"/>
      <c r="L18" s="205" t="n"/>
      <c r="M18" s="206" t="n"/>
      <c r="N18" s="224" t="n"/>
      <c r="O18" s="184" t="n"/>
      <c r="P18" s="184" t="n"/>
      <c r="Q18" s="184" t="n"/>
      <c r="R18" s="184" t="n"/>
      <c r="S18" s="185" t="n"/>
      <c r="X18" s="69" t="n"/>
      <c r="Z18" s="69" t="n"/>
    </row>
    <row r="19">
      <c r="A19" s="5" t="inlineStr">
        <is>
          <t>Material do disco</t>
        </is>
      </c>
      <c r="B19" s="229" t="n"/>
      <c r="C19" s="205" t="n"/>
      <c r="D19" s="205" t="n"/>
      <c r="E19" s="205" t="n"/>
      <c r="F19" s="205" t="n"/>
      <c r="G19" s="216" t="n"/>
      <c r="H19" s="130" t="inlineStr">
        <is>
          <t>Quantidade</t>
        </is>
      </c>
      <c r="I19" s="205" t="n"/>
      <c r="J19" s="205" t="n"/>
      <c r="K19" s="205" t="n"/>
      <c r="L19" s="205" t="n"/>
      <c r="M19" s="206" t="n"/>
      <c r="N19" s="224" t="n"/>
      <c r="O19" s="184" t="n"/>
      <c r="P19" s="184" t="n"/>
      <c r="Q19" s="184" t="n"/>
      <c r="R19" s="184" t="n"/>
      <c r="S19" s="185" t="n"/>
      <c r="X19" s="69" t="n"/>
      <c r="Z19" s="69" t="n"/>
    </row>
    <row r="20">
      <c r="A20" s="5" t="inlineStr">
        <is>
          <t>Material da haste</t>
        </is>
      </c>
      <c r="B20" s="229" t="n"/>
      <c r="C20" s="205" t="n"/>
      <c r="D20" s="205" t="n"/>
      <c r="E20" s="205" t="n"/>
      <c r="F20" s="205" t="n"/>
      <c r="G20" s="216" t="n"/>
      <c r="H20" s="130" t="inlineStr">
        <is>
          <t>Tipo dos contatos</t>
        </is>
      </c>
      <c r="I20" s="205" t="n"/>
      <c r="J20" s="205" t="n"/>
      <c r="K20" s="205" t="n"/>
      <c r="L20" s="205" t="n"/>
      <c r="M20" s="206" t="n"/>
      <c r="N20" s="224" t="n"/>
      <c r="O20" s="184" t="n"/>
      <c r="P20" s="184" t="n"/>
      <c r="Q20" s="184" t="n"/>
      <c r="R20" s="184" t="n"/>
      <c r="S20" s="185" t="n"/>
      <c r="X20" s="69" t="n"/>
      <c r="Z20" s="69" t="n"/>
    </row>
    <row r="21">
      <c r="A21" s="3" t="inlineStr">
        <is>
          <t>Obturador balanceado</t>
        </is>
      </c>
      <c r="B21" s="229" t="n"/>
      <c r="C21" s="205" t="n"/>
      <c r="D21" s="205" t="n"/>
      <c r="E21" s="205" t="n"/>
      <c r="F21" s="205" t="n"/>
      <c r="G21" s="216" t="n"/>
      <c r="H21" s="130" t="inlineStr">
        <is>
          <t>Conexão elétrica</t>
        </is>
      </c>
      <c r="I21" s="205" t="n"/>
      <c r="J21" s="205" t="n"/>
      <c r="K21" s="205" t="n"/>
      <c r="L21" s="205" t="n"/>
      <c r="M21" s="206" t="n"/>
      <c r="N21" s="224" t="n"/>
      <c r="O21" s="184" t="n"/>
      <c r="P21" s="184" t="n"/>
      <c r="Q21" s="184" t="n"/>
      <c r="R21" s="184" t="n"/>
      <c r="S21" s="185" t="n"/>
      <c r="X21" s="69" t="n"/>
      <c r="Z21" s="69" t="n"/>
    </row>
    <row r="22">
      <c r="A22" s="3" t="inlineStr">
        <is>
          <t>Direção do fluxo</t>
        </is>
      </c>
      <c r="B22" s="229" t="n"/>
      <c r="C22" s="205" t="n"/>
      <c r="D22" s="205" t="n"/>
      <c r="E22" s="205" t="n"/>
      <c r="F22" s="205" t="n"/>
      <c r="G22" s="216" t="n"/>
      <c r="H22" s="130" t="inlineStr">
        <is>
          <t>Classificação de área</t>
        </is>
      </c>
      <c r="I22" s="205" t="n"/>
      <c r="J22" s="205" t="n"/>
      <c r="K22" s="205" t="n"/>
      <c r="L22" s="205" t="n"/>
      <c r="M22" s="206" t="n"/>
      <c r="N22" s="224" t="n"/>
      <c r="O22" s="184" t="n"/>
      <c r="P22" s="184" t="n"/>
      <c r="Q22" s="184" t="n"/>
      <c r="R22" s="184" t="n"/>
      <c r="S22" s="185" t="n"/>
      <c r="X22" s="69" t="n"/>
      <c r="Z22" s="69" t="n"/>
    </row>
    <row r="23" ht="13.8" customHeight="1" thickBot="1">
      <c r="A23" s="6" t="inlineStr">
        <is>
          <t>Guias</t>
        </is>
      </c>
      <c r="B23" s="230" t="n"/>
      <c r="C23" s="208" t="n"/>
      <c r="D23" s="208" t="n"/>
      <c r="E23" s="208" t="n"/>
      <c r="F23" s="208" t="n"/>
      <c r="G23" s="226" t="n"/>
      <c r="H23" s="147" t="inlineStr">
        <is>
          <t>Classificação do invólucro</t>
        </is>
      </c>
      <c r="I23" s="184" t="n"/>
      <c r="J23" s="184" t="n"/>
      <c r="K23" s="184" t="n"/>
      <c r="L23" s="184" t="n"/>
      <c r="M23" s="231" t="n"/>
      <c r="N23" s="224" t="n"/>
      <c r="O23" s="184" t="n"/>
      <c r="P23" s="184" t="n"/>
      <c r="Q23" s="184" t="n"/>
      <c r="R23" s="184" t="n"/>
      <c r="S23" s="185" t="n"/>
      <c r="X23" s="69" t="n"/>
      <c r="Z23" s="69" t="n"/>
    </row>
    <row r="24" ht="13.8" customHeight="1" thickBot="1">
      <c r="A24" s="220" t="inlineStr">
        <is>
          <t>ATUADOR</t>
        </is>
      </c>
      <c r="B24" s="221" t="n"/>
      <c r="C24" s="221" t="n"/>
      <c r="D24" s="221" t="n"/>
      <c r="E24" s="221" t="n"/>
      <c r="F24" s="221" t="n"/>
      <c r="G24" s="222" t="n"/>
      <c r="H24" s="220" t="inlineStr">
        <is>
          <t>DADOS DE PROCESSO</t>
        </is>
      </c>
      <c r="I24" s="221" t="n"/>
      <c r="J24" s="221" t="n"/>
      <c r="K24" s="221" t="n"/>
      <c r="L24" s="221" t="n"/>
      <c r="M24" s="221" t="n"/>
      <c r="N24" s="221" t="n"/>
      <c r="O24" s="221" t="n"/>
      <c r="P24" s="221" t="n"/>
      <c r="Q24" s="221" t="n"/>
      <c r="R24" s="221" t="n"/>
      <c r="S24" s="222" t="n"/>
    </row>
    <row r="25">
      <c r="A25" s="17" t="inlineStr">
        <is>
          <t>Tipo</t>
        </is>
      </c>
      <c r="B25" s="152" t="n"/>
      <c r="C25" s="181" t="n"/>
      <c r="D25" s="181" t="n"/>
      <c r="E25" s="181" t="n"/>
      <c r="F25" s="181" t="n"/>
      <c r="G25" s="181" t="n"/>
      <c r="H25" s="18" t="inlineStr">
        <is>
          <t>Fluido</t>
        </is>
      </c>
      <c r="I25" s="212" t="n"/>
      <c r="J25" s="212" t="n"/>
      <c r="K25" s="212" t="n"/>
      <c r="L25" s="212" t="n"/>
      <c r="M25" s="213" t="n"/>
      <c r="N25" s="232" t="inlineStr">
        <is>
          <t>(NOTA 1)</t>
        </is>
      </c>
      <c r="O25" s="173" t="n"/>
      <c r="P25" s="173" t="n"/>
      <c r="Q25" s="173" t="n"/>
      <c r="R25" s="173" t="n"/>
      <c r="S25" s="177" t="n"/>
    </row>
    <row r="26">
      <c r="A26" s="3" t="inlineStr">
        <is>
          <t>Range</t>
        </is>
      </c>
      <c r="B26" s="148" t="n"/>
      <c r="C26" s="205" t="n"/>
      <c r="D26" s="205" t="n"/>
      <c r="E26" s="205" t="n"/>
      <c r="F26" s="205" t="n"/>
      <c r="G26" s="205" t="n"/>
      <c r="H26" s="3" t="inlineStr">
        <is>
          <t>Estado físico</t>
        </is>
      </c>
      <c r="I26" s="205" t="n"/>
      <c r="J26" s="205" t="n"/>
      <c r="K26" s="205" t="n"/>
      <c r="L26" s="205" t="n"/>
      <c r="M26" s="206" t="n"/>
      <c r="N26" s="233" t="n"/>
      <c r="O26" s="184" t="n"/>
      <c r="P26" s="184" t="n"/>
      <c r="Q26" s="184" t="n"/>
      <c r="R26" s="184" t="n"/>
      <c r="S26" s="185" t="n"/>
    </row>
    <row r="27">
      <c r="A27" s="3" t="inlineStr">
        <is>
          <t>Volante</t>
        </is>
      </c>
      <c r="B27" s="148" t="n"/>
      <c r="C27" s="205" t="n"/>
      <c r="D27" s="205" t="n"/>
      <c r="E27" s="205" t="n"/>
      <c r="F27" s="205" t="n"/>
      <c r="G27" s="205" t="n"/>
      <c r="H27" s="3" t="inlineStr">
        <is>
          <t>Pressão de entrada</t>
        </is>
      </c>
      <c r="I27" s="205" t="n"/>
      <c r="J27" s="205" t="n"/>
      <c r="K27" s="205" t="n"/>
      <c r="L27" s="205" t="n"/>
      <c r="M27" s="206" t="n"/>
      <c r="N27" s="233" t="inlineStr">
        <is>
          <t>3,00</t>
        </is>
      </c>
      <c r="O27" s="184" t="n"/>
      <c r="P27" s="184" t="n"/>
      <c r="Q27" s="184" t="n"/>
      <c r="R27" s="184" t="n"/>
      <c r="S27" s="185" t="n"/>
    </row>
    <row r="28">
      <c r="A28" s="3" t="inlineStr">
        <is>
          <t>Ação em caso de falha</t>
        </is>
      </c>
      <c r="B28" s="148" t="n"/>
      <c r="C28" s="205" t="n"/>
      <c r="D28" s="205" t="n"/>
      <c r="E28" s="205" t="n"/>
      <c r="F28" s="205" t="n"/>
      <c r="G28" s="205" t="n"/>
      <c r="H28" s="3" t="inlineStr">
        <is>
          <t>Pressão de saída</t>
        </is>
      </c>
      <c r="I28" s="205" t="n"/>
      <c r="J28" s="205" t="n"/>
      <c r="K28" s="205" t="n"/>
      <c r="L28" s="205" t="n"/>
      <c r="M28" s="206" t="n"/>
      <c r="N28" s="233" t="n"/>
      <c r="O28" s="184" t="n"/>
      <c r="P28" s="184" t="n"/>
      <c r="Q28" s="184" t="n"/>
      <c r="R28" s="184" t="n"/>
      <c r="S28" s="185" t="n"/>
    </row>
    <row r="29" ht="13.8" customHeight="1" thickBot="1">
      <c r="A29" s="16" t="inlineStr">
        <is>
          <t>Pressão suprimento de ar (min/max)</t>
        </is>
      </c>
      <c r="B29" s="150" t="n"/>
      <c r="C29" s="184" t="n"/>
      <c r="D29" s="184" t="n"/>
      <c r="E29" s="184" t="n"/>
      <c r="F29" s="184" t="n"/>
      <c r="G29" s="184" t="n"/>
      <c r="H29" s="3" t="inlineStr">
        <is>
          <t>Viscosidade</t>
        </is>
      </c>
      <c r="I29" s="205" t="n"/>
      <c r="J29" s="205" t="n"/>
      <c r="K29" s="205" t="n"/>
      <c r="L29" s="205" t="n"/>
      <c r="M29" s="206" t="n"/>
      <c r="N29" s="233" t="inlineStr">
        <is>
          <t>&lt;50 cP</t>
        </is>
      </c>
      <c r="O29" s="184" t="n"/>
      <c r="P29" s="184" t="n"/>
      <c r="Q29" s="184" t="n"/>
      <c r="R29" s="184" t="n"/>
      <c r="S29" s="185" t="n"/>
    </row>
    <row r="30" ht="13.8" customHeight="1" thickBot="1">
      <c r="A30" s="142" t="inlineStr">
        <is>
          <t>POSICIONADOR</t>
        </is>
      </c>
      <c r="B30" s="221" t="n"/>
      <c r="C30" s="221" t="n"/>
      <c r="D30" s="221" t="n"/>
      <c r="E30" s="221" t="n"/>
      <c r="F30" s="221" t="n"/>
      <c r="G30" s="221" t="n"/>
      <c r="H30" s="3" t="inlineStr">
        <is>
          <t>Vazão normal</t>
        </is>
      </c>
      <c r="I30" s="205" t="n"/>
      <c r="J30" s="205" t="n"/>
      <c r="K30" s="205" t="n"/>
      <c r="L30" s="205" t="n"/>
      <c r="M30" s="206" t="n"/>
      <c r="N30" s="233" t="n"/>
      <c r="O30" s="184" t="n"/>
      <c r="P30" s="184" t="n"/>
      <c r="Q30" s="184" t="n"/>
      <c r="R30" s="184" t="n"/>
      <c r="S30" s="185" t="n"/>
    </row>
    <row r="31">
      <c r="A31" s="17" t="inlineStr">
        <is>
          <t>Tipo</t>
        </is>
      </c>
      <c r="B31" s="152" t="n"/>
      <c r="C31" s="181" t="n"/>
      <c r="D31" s="181" t="n"/>
      <c r="E31" s="181" t="n"/>
      <c r="F31" s="181" t="n"/>
      <c r="G31" s="181" t="n"/>
      <c r="H31" s="3" t="inlineStr">
        <is>
          <t>Vazão máxima</t>
        </is>
      </c>
      <c r="I31" s="205" t="n"/>
      <c r="J31" s="205" t="n"/>
      <c r="K31" s="205" t="n"/>
      <c r="L31" s="205" t="n"/>
      <c r="M31" s="206" t="n"/>
      <c r="N31" s="233" t="inlineStr">
        <is>
          <t>30.0</t>
        </is>
      </c>
      <c r="O31" s="184" t="n"/>
      <c r="P31" s="184" t="n"/>
      <c r="Q31" s="184" t="n"/>
      <c r="R31" s="184" t="n"/>
      <c r="S31" s="185" t="n"/>
    </row>
    <row r="32">
      <c r="A32" s="3" t="inlineStr">
        <is>
          <t>By-pass</t>
        </is>
      </c>
      <c r="B32" s="148" t="n"/>
      <c r="C32" s="205" t="n"/>
      <c r="D32" s="205" t="n"/>
      <c r="E32" s="205" t="n"/>
      <c r="F32" s="205" t="n"/>
      <c r="G32" s="205" t="n"/>
      <c r="H32" s="3" t="inlineStr">
        <is>
          <t>Vazão mínima</t>
        </is>
      </c>
      <c r="I32" s="205" t="n"/>
      <c r="J32" s="205" t="n"/>
      <c r="K32" s="205" t="n"/>
      <c r="L32" s="205" t="n"/>
      <c r="M32" s="206" t="n"/>
      <c r="N32" s="233" t="inlineStr">
        <is>
          <t>15.0</t>
        </is>
      </c>
      <c r="O32" s="184" t="n"/>
      <c r="P32" s="184" t="n"/>
      <c r="Q32" s="184" t="n"/>
      <c r="R32" s="184" t="n"/>
      <c r="S32" s="185" t="n"/>
    </row>
    <row r="33">
      <c r="A33" s="3" t="inlineStr">
        <is>
          <t>Manômetros quantidade</t>
        </is>
      </c>
      <c r="B33" s="148" t="n"/>
      <c r="C33" s="205" t="n"/>
      <c r="D33" s="205" t="n"/>
      <c r="E33" s="205" t="n"/>
      <c r="F33" s="205" t="n"/>
      <c r="G33" s="205" t="n"/>
      <c r="H33" s="3" t="inlineStr">
        <is>
          <t>Pressão shut off</t>
        </is>
      </c>
      <c r="I33" s="205" t="n"/>
      <c r="J33" s="205" t="n"/>
      <c r="K33" s="205" t="n"/>
      <c r="L33" s="205" t="n"/>
      <c r="M33" s="206" t="n"/>
      <c r="N33" s="233" t="n"/>
      <c r="O33" s="184" t="n"/>
      <c r="P33" s="184" t="n"/>
      <c r="Q33" s="184" t="n"/>
      <c r="R33" s="184" t="n"/>
      <c r="S33" s="185" t="n"/>
    </row>
    <row r="34">
      <c r="A34" s="3" t="inlineStr">
        <is>
          <t>Sinal de entrada</t>
        </is>
      </c>
      <c r="B34" s="148" t="n"/>
      <c r="C34" s="205" t="n"/>
      <c r="D34" s="205" t="n"/>
      <c r="E34" s="205" t="n"/>
      <c r="F34" s="205" t="n"/>
      <c r="G34" s="205" t="n"/>
      <c r="H34" s="3" t="inlineStr">
        <is>
          <t>Temperatura máxima</t>
        </is>
      </c>
      <c r="I34" s="205" t="n"/>
      <c r="J34" s="205" t="n"/>
      <c r="K34" s="205" t="n"/>
      <c r="L34" s="205" t="n"/>
      <c r="M34" s="206" t="n"/>
      <c r="N34" s="233" t="inlineStr">
        <is>
          <t>35</t>
        </is>
      </c>
      <c r="O34" s="184" t="n"/>
      <c r="P34" s="184" t="n"/>
      <c r="Q34" s="184" t="n"/>
      <c r="R34" s="184" t="n"/>
      <c r="S34" s="185" t="n"/>
    </row>
    <row r="35">
      <c r="A35" s="3" t="inlineStr">
        <is>
          <t>Sial de saída</t>
        </is>
      </c>
      <c r="B35" s="148" t="n"/>
      <c r="C35" s="205" t="n"/>
      <c r="D35" s="205" t="n"/>
      <c r="E35" s="205" t="n"/>
      <c r="F35" s="205" t="n"/>
      <c r="G35" s="205" t="n"/>
      <c r="H35" s="3" t="inlineStr">
        <is>
          <t>Temperatura normal</t>
        </is>
      </c>
      <c r="I35" s="205" t="n"/>
      <c r="J35" s="205" t="n"/>
      <c r="K35" s="205" t="n"/>
      <c r="L35" s="205" t="n"/>
      <c r="M35" s="206" t="n"/>
      <c r="N35" s="233" t="n"/>
      <c r="O35" s="184" t="n"/>
      <c r="P35" s="184" t="n"/>
      <c r="Q35" s="184" t="n"/>
      <c r="R35" s="184" t="n"/>
      <c r="S35" s="185" t="n"/>
    </row>
    <row r="36">
      <c r="A36" s="3" t="inlineStr">
        <is>
          <t>Característica do came</t>
        </is>
      </c>
      <c r="B36" s="148" t="n"/>
      <c r="C36" s="205" t="n"/>
      <c r="D36" s="205" t="n"/>
      <c r="E36" s="205" t="n"/>
      <c r="F36" s="205" t="n"/>
      <c r="G36" s="205" t="n"/>
      <c r="H36" s="3" t="inlineStr">
        <is>
          <t>Massa específica</t>
        </is>
      </c>
      <c r="I36" s="205" t="n"/>
      <c r="J36" s="205" t="n"/>
      <c r="K36" s="205" t="n"/>
      <c r="L36" s="205" t="n"/>
      <c r="M36" s="206" t="n"/>
      <c r="N36" s="233" t="inlineStr">
        <is>
          <t>1120 kg/m³</t>
        </is>
      </c>
      <c r="O36" s="184" t="n"/>
      <c r="P36" s="184" t="n"/>
      <c r="Q36" s="184" t="n"/>
      <c r="R36" s="184" t="n"/>
      <c r="S36" s="185" t="n"/>
    </row>
    <row r="37" ht="13.8" customHeight="1" thickBot="1">
      <c r="A37" s="16" t="inlineStr">
        <is>
          <t>Alimentação de ar</t>
        </is>
      </c>
      <c r="B37" s="150" t="n"/>
      <c r="C37" s="184" t="n"/>
      <c r="D37" s="184" t="n"/>
      <c r="E37" s="184" t="n"/>
      <c r="F37" s="184" t="n"/>
      <c r="G37" s="184" t="n"/>
      <c r="H37" s="3" t="inlineStr">
        <is>
          <t>Cv calculado (máximo) / % abertura</t>
        </is>
      </c>
      <c r="I37" s="205" t="n"/>
      <c r="J37" s="205" t="n"/>
      <c r="K37" s="205" t="n"/>
      <c r="L37" s="205" t="n"/>
      <c r="M37" s="206" t="n"/>
      <c r="N37" s="224" t="n"/>
      <c r="O37" s="184" t="n"/>
      <c r="P37" s="184" t="n"/>
      <c r="Q37" s="184" t="n"/>
      <c r="R37" s="184" t="n"/>
      <c r="S37" s="185" t="n"/>
    </row>
    <row r="38" ht="13.8" customHeight="1" thickBot="1">
      <c r="A38" s="142" t="inlineStr">
        <is>
          <t>ACESSÓRIOS</t>
        </is>
      </c>
      <c r="B38" s="221" t="n"/>
      <c r="C38" s="221" t="n"/>
      <c r="D38" s="221" t="n"/>
      <c r="E38" s="221" t="n"/>
      <c r="F38" s="221" t="n"/>
      <c r="G38" s="221" t="n"/>
      <c r="H38" s="3" t="inlineStr">
        <is>
          <t>Cv calculado (normal) / % abertura</t>
        </is>
      </c>
      <c r="I38" s="205" t="n"/>
      <c r="J38" s="205" t="n"/>
      <c r="K38" s="205" t="n"/>
      <c r="L38" s="205" t="n"/>
      <c r="M38" s="206" t="n"/>
      <c r="N38" s="224" t="n"/>
      <c r="O38" s="184" t="n"/>
      <c r="P38" s="184" t="n"/>
      <c r="Q38" s="184" t="n"/>
      <c r="R38" s="184" t="n"/>
      <c r="S38" s="185" t="n"/>
    </row>
    <row r="39">
      <c r="A39" s="17" t="inlineStr">
        <is>
          <t>Filtro / Filtro regulador</t>
        </is>
      </c>
      <c r="B39" s="152" t="n"/>
      <c r="C39" s="181" t="n"/>
      <c r="D39" s="181" t="n"/>
      <c r="E39" s="181" t="n"/>
      <c r="F39" s="181" t="n"/>
      <c r="G39" s="181" t="n"/>
      <c r="H39" s="3" t="inlineStr">
        <is>
          <t>Cv calculado (mínimo) / % abertura</t>
        </is>
      </c>
      <c r="I39" s="205" t="n"/>
      <c r="J39" s="205" t="n"/>
      <c r="K39" s="205" t="n"/>
      <c r="L39" s="205" t="n"/>
      <c r="M39" s="206" t="n"/>
      <c r="N39" s="224" t="n"/>
      <c r="O39" s="184" t="n"/>
      <c r="P39" s="184" t="n"/>
      <c r="Q39" s="184" t="n"/>
      <c r="R39" s="184" t="n"/>
      <c r="S39" s="185" t="n"/>
    </row>
    <row r="40">
      <c r="A40" s="3" t="inlineStr">
        <is>
          <t>Manômetro para o regulador</t>
        </is>
      </c>
      <c r="B40" s="148" t="n"/>
      <c r="C40" s="205" t="n"/>
      <c r="D40" s="205" t="n"/>
      <c r="E40" s="205" t="n"/>
      <c r="F40" s="205" t="n"/>
      <c r="G40" s="205" t="n"/>
      <c r="H40" s="3" t="inlineStr">
        <is>
          <t>Cv selecionado</t>
        </is>
      </c>
      <c r="I40" s="205" t="n"/>
      <c r="J40" s="205" t="n"/>
      <c r="K40" s="205" t="n"/>
      <c r="L40" s="205" t="n"/>
      <c r="M40" s="206" t="n"/>
      <c r="N40" s="224" t="n"/>
      <c r="O40" s="184" t="n"/>
      <c r="P40" s="184" t="n"/>
      <c r="Q40" s="184" t="n"/>
      <c r="R40" s="184" t="n"/>
      <c r="S40" s="185" t="n"/>
    </row>
    <row r="41" ht="13.8" customHeight="1" thickBot="1">
      <c r="A41" s="6" t="inlineStr">
        <is>
          <t>Posição do volante</t>
        </is>
      </c>
      <c r="B41" s="154" t="n"/>
      <c r="C41" s="208" t="n"/>
      <c r="D41" s="208" t="n"/>
      <c r="E41" s="208" t="n"/>
      <c r="F41" s="208" t="n"/>
      <c r="G41" s="208" t="n"/>
      <c r="H41" s="6" t="inlineStr">
        <is>
          <t>Nível de ruído</t>
        </is>
      </c>
      <c r="I41" s="208" t="n"/>
      <c r="J41" s="208" t="n"/>
      <c r="K41" s="208" t="n"/>
      <c r="L41" s="208" t="n"/>
      <c r="M41" s="209" t="n"/>
      <c r="N41" s="225" t="n"/>
      <c r="O41" s="208" t="n"/>
      <c r="P41" s="208" t="n"/>
      <c r="Q41" s="208" t="n"/>
      <c r="R41" s="208" t="n"/>
      <c r="S41" s="226" t="n"/>
    </row>
    <row r="42">
      <c r="A42" s="234" t="inlineStr">
        <is>
          <t>Notas:</t>
        </is>
      </c>
      <c r="B42" s="173" t="n"/>
      <c r="C42" s="173" t="n"/>
      <c r="D42" s="173" t="n"/>
      <c r="E42" s="173" t="n"/>
      <c r="F42" s="173" t="n"/>
      <c r="G42" s="173" t="n"/>
      <c r="H42" s="173" t="n"/>
      <c r="I42" s="173" t="n"/>
      <c r="J42" s="173" t="n"/>
      <c r="K42" s="173" t="n"/>
      <c r="L42" s="173" t="n"/>
      <c r="M42" s="173" t="n"/>
      <c r="N42" s="173" t="n"/>
      <c r="O42" s="173" t="n"/>
      <c r="P42" s="173" t="n"/>
      <c r="Q42" s="173" t="n"/>
      <c r="R42" s="173" t="n"/>
      <c r="S42" s="177" t="n"/>
    </row>
    <row r="43" ht="13.8" customHeight="1" thickBot="1">
      <c r="A43" s="235" t="inlineStr">
        <is>
          <t>(NOTA 1): CRESTIVO (A16003E); BIRK 25% (A25191A); BIRTEA; CRESTIVO DUO</t>
        </is>
      </c>
      <c r="B43" s="197" t="n"/>
      <c r="C43" s="197" t="n"/>
      <c r="D43" s="197" t="n"/>
      <c r="E43" s="197" t="n"/>
      <c r="F43" s="197" t="n"/>
      <c r="G43" s="197" t="n"/>
      <c r="H43" s="197" t="n"/>
      <c r="I43" s="197" t="n"/>
      <c r="J43" s="197" t="n"/>
      <c r="K43" s="197" t="n"/>
      <c r="L43" s="197" t="n"/>
      <c r="M43" s="197" t="n"/>
      <c r="N43" s="197" t="n"/>
      <c r="O43" s="197" t="n"/>
      <c r="P43" s="197" t="n"/>
      <c r="Q43" s="197" t="n"/>
      <c r="R43" s="197" t="n"/>
      <c r="S43" s="199" t="n"/>
    </row>
    <row r="44">
      <c r="A44" s="7" t="n"/>
    </row>
    <row r="45">
      <c r="A45" s="2" t="n"/>
    </row>
    <row r="46">
      <c r="A46" s="2" t="n"/>
    </row>
    <row r="47">
      <c r="A47" s="2" t="n"/>
    </row>
    <row r="48">
      <c r="A48" s="2" t="n"/>
    </row>
    <row r="49">
      <c r="A49" s="2" t="n"/>
    </row>
    <row r="50">
      <c r="A50" s="2" t="n"/>
    </row>
    <row r="51">
      <c r="A51" s="2" t="n"/>
    </row>
    <row r="52">
      <c r="A52" s="2" t="n"/>
    </row>
    <row r="53">
      <c r="A53" s="2" t="n"/>
    </row>
    <row r="54">
      <c r="A54" s="2" t="n"/>
    </row>
  </sheetData>
  <mergeCells count="116">
    <mergeCell ref="H21:M21"/>
    <mergeCell ref="N23:S23"/>
    <mergeCell ref="B8:G8"/>
    <mergeCell ref="N18:S18"/>
    <mergeCell ref="A1:A4"/>
    <mergeCell ref="N8:S8"/>
    <mergeCell ref="H7:M7"/>
    <mergeCell ref="B10:G10"/>
    <mergeCell ref="N10:S10"/>
    <mergeCell ref="A30:G30"/>
    <mergeCell ref="H27:M27"/>
    <mergeCell ref="N34:S34"/>
    <mergeCell ref="H33:M33"/>
    <mergeCell ref="B36:G36"/>
    <mergeCell ref="N27:S27"/>
    <mergeCell ref="H5:S5"/>
    <mergeCell ref="N36:S36"/>
    <mergeCell ref="H35:M35"/>
    <mergeCell ref="N11:S11"/>
    <mergeCell ref="N20:S20"/>
    <mergeCell ref="B22:G22"/>
    <mergeCell ref="B31:G31"/>
    <mergeCell ref="N22:S22"/>
    <mergeCell ref="H9:M9"/>
    <mergeCell ref="B12:G12"/>
    <mergeCell ref="H39:M39"/>
    <mergeCell ref="B21:G21"/>
    <mergeCell ref="B39:G39"/>
    <mergeCell ref="N12:S12"/>
    <mergeCell ref="N21:S21"/>
    <mergeCell ref="B14:G14"/>
    <mergeCell ref="B23:G23"/>
    <mergeCell ref="N14:S14"/>
    <mergeCell ref="B13:G13"/>
    <mergeCell ref="A43:S43"/>
    <mergeCell ref="N38:S38"/>
    <mergeCell ref="H16:S16"/>
    <mergeCell ref="H32:M32"/>
    <mergeCell ref="H13:M13"/>
    <mergeCell ref="N40:S40"/>
    <mergeCell ref="B33:G33"/>
    <mergeCell ref="H15:M15"/>
    <mergeCell ref="H18:M18"/>
    <mergeCell ref="B41:G41"/>
    <mergeCell ref="B35:G35"/>
    <mergeCell ref="C2:S2"/>
    <mergeCell ref="H8:M8"/>
    <mergeCell ref="N26:S26"/>
    <mergeCell ref="N35:S35"/>
    <mergeCell ref="H26:M26"/>
    <mergeCell ref="B25:G25"/>
    <mergeCell ref="N25:S25"/>
    <mergeCell ref="H10:M10"/>
    <mergeCell ref="H41:M41"/>
    <mergeCell ref="B27:G27"/>
    <mergeCell ref="H34:M34"/>
    <mergeCell ref="H25:M25"/>
    <mergeCell ref="B11:G11"/>
    <mergeCell ref="A5:G5"/>
    <mergeCell ref="A42:S42"/>
    <mergeCell ref="H36:M36"/>
    <mergeCell ref="A38:G38"/>
    <mergeCell ref="H17:M17"/>
    <mergeCell ref="N39:S39"/>
    <mergeCell ref="H11:M11"/>
    <mergeCell ref="B29:G29"/>
    <mergeCell ref="N29:S29"/>
    <mergeCell ref="H19:M19"/>
    <mergeCell ref="H28:M28"/>
    <mergeCell ref="H37:M37"/>
    <mergeCell ref="A24:G24"/>
    <mergeCell ref="N13:S13"/>
    <mergeCell ref="B40:G40"/>
    <mergeCell ref="H12:M12"/>
    <mergeCell ref="N31:S31"/>
    <mergeCell ref="B15:G15"/>
    <mergeCell ref="J1:S1"/>
    <mergeCell ref="N6:S6"/>
    <mergeCell ref="N15:S15"/>
    <mergeCell ref="H24:S24"/>
    <mergeCell ref="H14:M14"/>
    <mergeCell ref="B32:G32"/>
    <mergeCell ref="H23:M23"/>
    <mergeCell ref="A16:G16"/>
    <mergeCell ref="B26:G26"/>
    <mergeCell ref="Y16:Y23"/>
    <mergeCell ref="B7:G7"/>
    <mergeCell ref="H38:M38"/>
    <mergeCell ref="N32:S32"/>
    <mergeCell ref="N7:S7"/>
    <mergeCell ref="N41:S41"/>
    <mergeCell ref="H40:M40"/>
    <mergeCell ref="B18:G18"/>
    <mergeCell ref="N33:S33"/>
    <mergeCell ref="B17:G17"/>
    <mergeCell ref="N17:S17"/>
    <mergeCell ref="B19:G19"/>
    <mergeCell ref="B34:G34"/>
    <mergeCell ref="B28:G28"/>
    <mergeCell ref="B37:G37"/>
    <mergeCell ref="N19:S19"/>
    <mergeCell ref="H22:M22"/>
    <mergeCell ref="B9:G9"/>
    <mergeCell ref="N28:S28"/>
    <mergeCell ref="N9:S9"/>
    <mergeCell ref="B6:G6"/>
    <mergeCell ref="B20:G20"/>
    <mergeCell ref="N30:S30"/>
    <mergeCell ref="B3:S4"/>
    <mergeCell ref="H30:M30"/>
    <mergeCell ref="H20:M20"/>
    <mergeCell ref="H29:M29"/>
    <mergeCell ref="B1:H1"/>
    <mergeCell ref="N37:S37"/>
    <mergeCell ref="H31:M31"/>
    <mergeCell ref="H6:M6"/>
  </mergeCells>
  <pageMargins left="0.25" right="0.25" top="0.75" bottom="0.75" header="0.3" footer="0.3"/>
  <pageSetup orientation="portrait" paperSize="9" scale="82"/>
</worksheet>
</file>

<file path=xl/worksheets/sheet16.xml><?xml version="1.0" encoding="utf-8"?>
<worksheet xmlns="http://schemas.openxmlformats.org/spreadsheetml/2006/main">
  <sheetPr codeName="Planilha2">
    <outlinePr summaryBelow="1" summaryRight="1"/>
    <pageSetUpPr fitToPage="1"/>
  </sheetPr>
  <dimension ref="A1:Z54"/>
  <sheetViews>
    <sheetView workbookViewId="0">
      <selection activeCell="A1" sqref="A1"/>
    </sheetView>
  </sheetViews>
  <sheetFormatPr baseColWidth="8" defaultRowHeight="13.2"/>
  <cols>
    <col width="35.109375" bestFit="1" customWidth="1" style="137" min="1" max="1"/>
    <col width="4.88671875" customWidth="1" style="137" min="2" max="19"/>
  </cols>
  <sheetData>
    <row r="1" ht="14.25" customHeight="1">
      <c r="A1" s="210">
        <f>_xlfn.IMAGE("https://technikgrupo.sharepoint.com/sites/transfer/Logos/Technik.png")</f>
        <v/>
      </c>
      <c r="B1" s="211" t="inlineStr">
        <is>
          <t>FOLHA DE DADOS</t>
        </is>
      </c>
      <c r="C1" s="212" t="n"/>
      <c r="D1" s="212" t="n"/>
      <c r="E1" s="212" t="n"/>
      <c r="F1" s="212" t="n"/>
      <c r="G1" s="212" t="n"/>
      <c r="H1" s="213" t="n"/>
      <c r="I1" s="19" t="inlineStr">
        <is>
          <t>Nº.:</t>
        </is>
      </c>
      <c r="J1" s="166">
        <f>"FD-"&amp;Config!D2&amp;"-"&amp;Config!F2&amp;"-001"</f>
        <v/>
      </c>
      <c r="K1" s="212" t="n"/>
      <c r="L1" s="212" t="n"/>
      <c r="M1" s="212" t="n"/>
      <c r="N1" s="212" t="n"/>
      <c r="O1" s="212" t="n"/>
      <c r="P1" s="212" t="n"/>
      <c r="Q1" s="212" t="n"/>
      <c r="R1" s="212" t="n"/>
      <c r="S1" s="214" t="n"/>
    </row>
    <row r="2" ht="14.25" customHeight="1">
      <c r="A2" s="215" t="n"/>
      <c r="B2" s="20" t="inlineStr">
        <is>
          <t>ÁREA:</t>
        </is>
      </c>
      <c r="C2" s="164" t="inlineStr">
        <is>
          <t>PÁTIO D3</t>
        </is>
      </c>
      <c r="D2" s="205" t="n"/>
      <c r="E2" s="205" t="n"/>
      <c r="F2" s="205" t="n"/>
      <c r="G2" s="205" t="n"/>
      <c r="H2" s="205" t="n"/>
      <c r="I2" s="205" t="n"/>
      <c r="J2" s="205" t="n"/>
      <c r="K2" s="205" t="n"/>
      <c r="L2" s="205" t="n"/>
      <c r="M2" s="205" t="n"/>
      <c r="N2" s="205" t="n"/>
      <c r="O2" s="205" t="n"/>
      <c r="P2" s="205" t="n"/>
      <c r="Q2" s="205" t="n"/>
      <c r="R2" s="205" t="n"/>
      <c r="S2" s="216" t="n"/>
    </row>
    <row r="3" ht="14.25" customHeight="1">
      <c r="A3" s="215" t="n"/>
      <c r="B3" s="217" t="inlineStr">
        <is>
          <t>VÁLVULA ON OFF</t>
        </is>
      </c>
      <c r="C3" s="184" t="n"/>
      <c r="D3" s="184" t="n"/>
      <c r="E3" s="184" t="n"/>
      <c r="F3" s="184" t="n"/>
      <c r="G3" s="184" t="n"/>
      <c r="H3" s="184" t="n"/>
      <c r="I3" s="184" t="n"/>
      <c r="J3" s="184" t="n"/>
      <c r="K3" s="184" t="n"/>
      <c r="L3" s="184" t="n"/>
      <c r="M3" s="184" t="n"/>
      <c r="N3" s="184" t="n"/>
      <c r="O3" s="184" t="n"/>
      <c r="P3" s="184" t="n"/>
      <c r="Q3" s="184" t="n"/>
      <c r="R3" s="184" t="n"/>
      <c r="S3" s="185" t="n"/>
    </row>
    <row r="4" ht="14.25" customHeight="1" thickBot="1">
      <c r="A4" s="218" t="n"/>
      <c r="B4" s="219" t="n"/>
      <c r="C4" s="197" t="n"/>
      <c r="D4" s="197" t="n"/>
      <c r="E4" s="197" t="n"/>
      <c r="F4" s="197" t="n"/>
      <c r="G4" s="197" t="n"/>
      <c r="H4" s="197" t="n"/>
      <c r="I4" s="197" t="n"/>
      <c r="J4" s="197" t="n"/>
      <c r="K4" s="197" t="n"/>
      <c r="L4" s="197" t="n"/>
      <c r="M4" s="197" t="n"/>
      <c r="N4" s="197" t="n"/>
      <c r="O4" s="197" t="n"/>
      <c r="P4" s="197" t="n"/>
      <c r="Q4" s="197" t="n"/>
      <c r="R4" s="197" t="n"/>
      <c r="S4" s="199" t="n"/>
    </row>
    <row r="5" ht="13.8" customHeight="1" thickBot="1">
      <c r="A5" s="220" t="inlineStr">
        <is>
          <t>GERAL</t>
        </is>
      </c>
      <c r="B5" s="221" t="n"/>
      <c r="C5" s="221" t="n"/>
      <c r="D5" s="221" t="n"/>
      <c r="E5" s="221" t="n"/>
      <c r="F5" s="221" t="n"/>
      <c r="G5" s="222" t="n"/>
      <c r="H5" s="220" t="inlineStr">
        <is>
          <t>VÁLVULA SOLENÓIDE</t>
        </is>
      </c>
      <c r="I5" s="221" t="n"/>
      <c r="J5" s="221" t="n"/>
      <c r="K5" s="221" t="n"/>
      <c r="L5" s="221" t="n"/>
      <c r="M5" s="221" t="n"/>
      <c r="N5" s="221" t="n"/>
      <c r="O5" s="221" t="n"/>
      <c r="P5" s="221" t="n"/>
      <c r="Q5" s="221" t="n"/>
      <c r="R5" s="221" t="n"/>
      <c r="S5" s="222" t="n"/>
    </row>
    <row r="6">
      <c r="A6" s="17" t="inlineStr">
        <is>
          <t>TAG / Quantidade</t>
        </is>
      </c>
      <c r="B6" s="167" t="inlineStr">
        <is>
          <t>XV-1715.4</t>
        </is>
      </c>
      <c r="C6" s="181" t="n"/>
      <c r="D6" s="181" t="n"/>
      <c r="E6" s="181" t="n"/>
      <c r="F6" s="181" t="n"/>
      <c r="G6" s="181" t="n"/>
      <c r="H6" s="18" t="inlineStr">
        <is>
          <t>TAG</t>
        </is>
      </c>
      <c r="I6" s="212" t="n"/>
      <c r="J6" s="212" t="n"/>
      <c r="K6" s="212" t="n"/>
      <c r="L6" s="212" t="n"/>
      <c r="M6" s="213" t="n"/>
      <c r="N6" s="223" t="n"/>
      <c r="O6" s="173" t="n"/>
      <c r="P6" s="173" t="n"/>
      <c r="Q6" s="173" t="n"/>
      <c r="R6" s="173" t="n"/>
      <c r="S6" s="177" t="n"/>
    </row>
    <row r="7">
      <c r="A7" s="3" t="inlineStr">
        <is>
          <t>Função</t>
        </is>
      </c>
      <c r="B7" s="158" t="n"/>
      <c r="C7" s="205" t="n"/>
      <c r="D7" s="205" t="n"/>
      <c r="E7" s="205" t="n"/>
      <c r="F7" s="205" t="n"/>
      <c r="G7" s="205" t="n"/>
      <c r="H7" s="3" t="inlineStr">
        <is>
          <t>Tipo</t>
        </is>
      </c>
      <c r="I7" s="205" t="n"/>
      <c r="J7" s="205" t="n"/>
      <c r="K7" s="205" t="n"/>
      <c r="L7" s="205" t="n"/>
      <c r="M7" s="206" t="n"/>
      <c r="N7" s="224" t="n"/>
      <c r="O7" s="184" t="n"/>
      <c r="P7" s="184" t="n"/>
      <c r="Q7" s="184" t="n"/>
      <c r="R7" s="184" t="n"/>
      <c r="S7" s="185" t="n"/>
    </row>
    <row r="8">
      <c r="A8" s="4" t="inlineStr">
        <is>
          <t>Fluxograma</t>
        </is>
      </c>
      <c r="B8" s="158" t="inlineStr">
        <is>
          <t>PHS2-PR27-1701-FL.01 Rev. 74I</t>
        </is>
      </c>
      <c r="C8" s="205" t="n"/>
      <c r="D8" s="205" t="n"/>
      <c r="E8" s="205" t="n"/>
      <c r="F8" s="205" t="n"/>
      <c r="G8" s="205" t="n"/>
      <c r="H8" s="3" t="inlineStr">
        <is>
          <t>Número de vias/posições</t>
        </is>
      </c>
      <c r="I8" s="205" t="n"/>
      <c r="J8" s="205" t="n"/>
      <c r="K8" s="205" t="n"/>
      <c r="L8" s="205" t="n"/>
      <c r="M8" s="206" t="n"/>
      <c r="N8" s="224" t="n"/>
      <c r="O8" s="184" t="n"/>
      <c r="P8" s="184" t="n"/>
      <c r="Q8" s="184" t="n"/>
      <c r="R8" s="184" t="n"/>
      <c r="S8" s="185" t="n"/>
    </row>
    <row r="9">
      <c r="A9" s="3" t="inlineStr">
        <is>
          <t>Bitola da linha</t>
        </is>
      </c>
      <c r="B9" s="158" t="n"/>
      <c r="C9" s="205" t="n"/>
      <c r="D9" s="205" t="n"/>
      <c r="E9" s="205" t="n"/>
      <c r="F9" s="205" t="n"/>
      <c r="G9" s="205" t="n"/>
      <c r="H9" s="3" t="inlineStr">
        <is>
          <t>Material do corpo</t>
        </is>
      </c>
      <c r="I9" s="205" t="n"/>
      <c r="J9" s="205" t="n"/>
      <c r="K9" s="205" t="n"/>
      <c r="L9" s="205" t="n"/>
      <c r="M9" s="206" t="n"/>
      <c r="N9" s="224" t="n"/>
      <c r="O9" s="184" t="n"/>
      <c r="P9" s="184" t="n"/>
      <c r="Q9" s="184" t="n"/>
      <c r="R9" s="184" t="n"/>
      <c r="S9" s="185" t="n"/>
    </row>
    <row r="10">
      <c r="A10" s="3" t="inlineStr">
        <is>
          <t>Tipo do corpo</t>
        </is>
      </c>
      <c r="B10" s="158" t="inlineStr">
        <is>
          <t>ESFERA AUTOMÁTICA</t>
        </is>
      </c>
      <c r="C10" s="205" t="n"/>
      <c r="D10" s="205" t="n"/>
      <c r="E10" s="205" t="n"/>
      <c r="F10" s="205" t="n"/>
      <c r="G10" s="205" t="n"/>
      <c r="H10" s="3" t="inlineStr">
        <is>
          <t>Classe da bobina</t>
        </is>
      </c>
      <c r="I10" s="205" t="n"/>
      <c r="J10" s="205" t="n"/>
      <c r="K10" s="205" t="n"/>
      <c r="L10" s="205" t="n"/>
      <c r="M10" s="206" t="n"/>
      <c r="N10" s="224" t="n"/>
      <c r="O10" s="184" t="n"/>
      <c r="P10" s="184" t="n"/>
      <c r="Q10" s="184" t="n"/>
      <c r="R10" s="184" t="n"/>
      <c r="S10" s="185" t="n"/>
    </row>
    <row r="11">
      <c r="A11" s="3" t="inlineStr">
        <is>
          <t>Material do corpo</t>
        </is>
      </c>
      <c r="B11" s="158" t="n"/>
      <c r="C11" s="205" t="n"/>
      <c r="D11" s="205" t="n"/>
      <c r="E11" s="205" t="n"/>
      <c r="F11" s="205" t="n"/>
      <c r="G11" s="205" t="n"/>
      <c r="H11" s="3" t="inlineStr">
        <is>
          <t>Número de bobinas</t>
        </is>
      </c>
      <c r="I11" s="205" t="n"/>
      <c r="J11" s="205" t="n"/>
      <c r="K11" s="205" t="n"/>
      <c r="L11" s="205" t="n"/>
      <c r="M11" s="206" t="n"/>
      <c r="N11" s="224" t="n"/>
      <c r="O11" s="184" t="n"/>
      <c r="P11" s="184" t="n"/>
      <c r="Q11" s="184" t="n"/>
      <c r="R11" s="184" t="n"/>
      <c r="S11" s="185" t="n"/>
    </row>
    <row r="12">
      <c r="A12" s="3" t="inlineStr">
        <is>
          <t>Diâmetro da válvula</t>
        </is>
      </c>
      <c r="B12" s="158" t="inlineStr">
        <is>
          <t>-</t>
        </is>
      </c>
      <c r="C12" s="205" t="n"/>
      <c r="D12" s="205" t="n"/>
      <c r="E12" s="205" t="n"/>
      <c r="F12" s="205" t="n"/>
      <c r="G12" s="205" t="n"/>
      <c r="H12" s="3" t="inlineStr">
        <is>
          <t>Conexão elétrica</t>
        </is>
      </c>
      <c r="I12" s="205" t="n"/>
      <c r="J12" s="205" t="n"/>
      <c r="K12" s="205" t="n"/>
      <c r="L12" s="205" t="n"/>
      <c r="M12" s="206" t="n"/>
      <c r="N12" s="224" t="n"/>
      <c r="O12" s="184" t="n"/>
      <c r="P12" s="184" t="n"/>
      <c r="Q12" s="184" t="n"/>
      <c r="R12" s="184" t="n"/>
      <c r="S12" s="185" t="n"/>
    </row>
    <row r="13">
      <c r="A13" s="3" t="inlineStr">
        <is>
          <t>Conexões e faceamento</t>
        </is>
      </c>
      <c r="B13" s="148" t="n"/>
      <c r="C13" s="205" t="n"/>
      <c r="D13" s="205" t="n"/>
      <c r="E13" s="205" t="n"/>
      <c r="F13" s="205" t="n"/>
      <c r="G13" s="205" t="n"/>
      <c r="H13" s="3" t="inlineStr">
        <is>
          <t>Conexão pneumática</t>
        </is>
      </c>
      <c r="I13" s="205" t="n"/>
      <c r="J13" s="205" t="n"/>
      <c r="K13" s="205" t="n"/>
      <c r="L13" s="205" t="n"/>
      <c r="M13" s="206" t="n"/>
      <c r="N13" s="224" t="n"/>
      <c r="O13" s="184" t="n"/>
      <c r="P13" s="184" t="n"/>
      <c r="Q13" s="184" t="n"/>
      <c r="R13" s="184" t="n"/>
      <c r="S13" s="185" t="n"/>
    </row>
    <row r="14">
      <c r="A14" s="3" t="inlineStr">
        <is>
          <t>Castelo</t>
        </is>
      </c>
      <c r="B14" s="148" t="n"/>
      <c r="C14" s="205" t="n"/>
      <c r="D14" s="205" t="n"/>
      <c r="E14" s="205" t="n"/>
      <c r="F14" s="205" t="n"/>
      <c r="G14" s="205" t="n"/>
      <c r="H14" s="3" t="inlineStr">
        <is>
          <t>Classificação da área</t>
        </is>
      </c>
      <c r="I14" s="205" t="n"/>
      <c r="J14" s="205" t="n"/>
      <c r="K14" s="205" t="n"/>
      <c r="L14" s="205" t="n"/>
      <c r="M14" s="206" t="n"/>
      <c r="N14" s="224" t="n"/>
      <c r="O14" s="184" t="n"/>
      <c r="P14" s="184" t="n"/>
      <c r="Q14" s="184" t="n"/>
      <c r="R14" s="184" t="n"/>
      <c r="S14" s="185" t="n"/>
    </row>
    <row r="15" ht="13.8" customHeight="1" thickBot="1">
      <c r="A15" s="16" t="inlineStr">
        <is>
          <t>Classe de vedação</t>
        </is>
      </c>
      <c r="B15" s="150" t="n"/>
      <c r="C15" s="184" t="n"/>
      <c r="D15" s="184" t="n"/>
      <c r="E15" s="184" t="n"/>
      <c r="F15" s="184" t="n"/>
      <c r="G15" s="184" t="n"/>
      <c r="H15" s="6" t="inlineStr">
        <is>
          <t>Classificação do invólucro</t>
        </is>
      </c>
      <c r="I15" s="208" t="n"/>
      <c r="J15" s="208" t="n"/>
      <c r="K15" s="208" t="n"/>
      <c r="L15" s="208" t="n"/>
      <c r="M15" s="209" t="n"/>
      <c r="N15" s="225" t="n"/>
      <c r="O15" s="208" t="n"/>
      <c r="P15" s="208" t="n"/>
      <c r="Q15" s="208" t="n"/>
      <c r="R15" s="208" t="n"/>
      <c r="S15" s="226" t="n"/>
    </row>
    <row r="16" ht="13.8" customHeight="1" thickBot="1">
      <c r="A16" s="220" t="inlineStr">
        <is>
          <t>INTERNOS</t>
        </is>
      </c>
      <c r="B16" s="221" t="n"/>
      <c r="C16" s="221" t="n"/>
      <c r="D16" s="221" t="n"/>
      <c r="E16" s="221" t="n"/>
      <c r="F16" s="221" t="n"/>
      <c r="G16" s="222" t="n"/>
      <c r="H16" s="220" t="inlineStr">
        <is>
          <t>FINS DE CURSO</t>
        </is>
      </c>
      <c r="I16" s="221" t="n"/>
      <c r="J16" s="221" t="n"/>
      <c r="K16" s="221" t="n"/>
      <c r="L16" s="221" t="n"/>
      <c r="M16" s="221" t="n"/>
      <c r="N16" s="221" t="n"/>
      <c r="O16" s="221" t="n"/>
      <c r="P16" s="221" t="n"/>
      <c r="Q16" s="221" t="n"/>
      <c r="R16" s="221" t="n"/>
      <c r="S16" s="222" t="n"/>
      <c r="X16" s="69" t="n"/>
      <c r="Y16" s="69" t="n"/>
      <c r="Z16" s="69" t="n"/>
    </row>
    <row r="17">
      <c r="A17" s="18" t="inlineStr">
        <is>
          <t>Material das gaxetas</t>
        </is>
      </c>
      <c r="B17" s="227" t="n"/>
      <c r="C17" s="212" t="n"/>
      <c r="D17" s="212" t="n"/>
      <c r="E17" s="212" t="n"/>
      <c r="F17" s="212" t="n"/>
      <c r="G17" s="214" t="n"/>
      <c r="H17" s="146" t="inlineStr">
        <is>
          <t>TAG</t>
        </is>
      </c>
      <c r="I17" s="181" t="n"/>
      <c r="J17" s="181" t="n"/>
      <c r="K17" s="181" t="n"/>
      <c r="L17" s="181" t="n"/>
      <c r="M17" s="202" t="n"/>
      <c r="N17" s="228" t="n"/>
      <c r="S17" s="192" t="n"/>
      <c r="X17" s="69" t="n"/>
      <c r="Z17" s="69" t="n"/>
    </row>
    <row r="18">
      <c r="A18" s="3" t="inlineStr">
        <is>
          <t>Sede</t>
        </is>
      </c>
      <c r="B18" s="229" t="n"/>
      <c r="C18" s="205" t="n"/>
      <c r="D18" s="205" t="n"/>
      <c r="E18" s="205" t="n"/>
      <c r="F18" s="205" t="n"/>
      <c r="G18" s="216" t="n"/>
      <c r="H18" s="130" t="inlineStr">
        <is>
          <t>Tipo</t>
        </is>
      </c>
      <c r="I18" s="205" t="n"/>
      <c r="J18" s="205" t="n"/>
      <c r="K18" s="205" t="n"/>
      <c r="L18" s="205" t="n"/>
      <c r="M18" s="206" t="n"/>
      <c r="N18" s="224" t="n"/>
      <c r="O18" s="184" t="n"/>
      <c r="P18" s="184" t="n"/>
      <c r="Q18" s="184" t="n"/>
      <c r="R18" s="184" t="n"/>
      <c r="S18" s="185" t="n"/>
      <c r="X18" s="69" t="n"/>
      <c r="Z18" s="69" t="n"/>
    </row>
    <row r="19">
      <c r="A19" s="5" t="inlineStr">
        <is>
          <t>Material do disco</t>
        </is>
      </c>
      <c r="B19" s="229" t="n"/>
      <c r="C19" s="205" t="n"/>
      <c r="D19" s="205" t="n"/>
      <c r="E19" s="205" t="n"/>
      <c r="F19" s="205" t="n"/>
      <c r="G19" s="216" t="n"/>
      <c r="H19" s="130" t="inlineStr">
        <is>
          <t>Quantidade</t>
        </is>
      </c>
      <c r="I19" s="205" t="n"/>
      <c r="J19" s="205" t="n"/>
      <c r="K19" s="205" t="n"/>
      <c r="L19" s="205" t="n"/>
      <c r="M19" s="206" t="n"/>
      <c r="N19" s="224" t="n"/>
      <c r="O19" s="184" t="n"/>
      <c r="P19" s="184" t="n"/>
      <c r="Q19" s="184" t="n"/>
      <c r="R19" s="184" t="n"/>
      <c r="S19" s="185" t="n"/>
      <c r="X19" s="69" t="n"/>
      <c r="Z19" s="69" t="n"/>
    </row>
    <row r="20">
      <c r="A20" s="5" t="inlineStr">
        <is>
          <t>Material da haste</t>
        </is>
      </c>
      <c r="B20" s="229" t="n"/>
      <c r="C20" s="205" t="n"/>
      <c r="D20" s="205" t="n"/>
      <c r="E20" s="205" t="n"/>
      <c r="F20" s="205" t="n"/>
      <c r="G20" s="216" t="n"/>
      <c r="H20" s="130" t="inlineStr">
        <is>
          <t>Tipo dos contatos</t>
        </is>
      </c>
      <c r="I20" s="205" t="n"/>
      <c r="J20" s="205" t="n"/>
      <c r="K20" s="205" t="n"/>
      <c r="L20" s="205" t="n"/>
      <c r="M20" s="206" t="n"/>
      <c r="N20" s="224" t="n"/>
      <c r="O20" s="184" t="n"/>
      <c r="P20" s="184" t="n"/>
      <c r="Q20" s="184" t="n"/>
      <c r="R20" s="184" t="n"/>
      <c r="S20" s="185" t="n"/>
      <c r="X20" s="69" t="n"/>
      <c r="Z20" s="69" t="n"/>
    </row>
    <row r="21">
      <c r="A21" s="3" t="inlineStr">
        <is>
          <t>Obturador balanceado</t>
        </is>
      </c>
      <c r="B21" s="229" t="n"/>
      <c r="C21" s="205" t="n"/>
      <c r="D21" s="205" t="n"/>
      <c r="E21" s="205" t="n"/>
      <c r="F21" s="205" t="n"/>
      <c r="G21" s="216" t="n"/>
      <c r="H21" s="130" t="inlineStr">
        <is>
          <t>Conexão elétrica</t>
        </is>
      </c>
      <c r="I21" s="205" t="n"/>
      <c r="J21" s="205" t="n"/>
      <c r="K21" s="205" t="n"/>
      <c r="L21" s="205" t="n"/>
      <c r="M21" s="206" t="n"/>
      <c r="N21" s="224" t="n"/>
      <c r="O21" s="184" t="n"/>
      <c r="P21" s="184" t="n"/>
      <c r="Q21" s="184" t="n"/>
      <c r="R21" s="184" t="n"/>
      <c r="S21" s="185" t="n"/>
      <c r="X21" s="69" t="n"/>
      <c r="Z21" s="69" t="n"/>
    </row>
    <row r="22">
      <c r="A22" s="3" t="inlineStr">
        <is>
          <t>Direção do fluxo</t>
        </is>
      </c>
      <c r="B22" s="229" t="n"/>
      <c r="C22" s="205" t="n"/>
      <c r="D22" s="205" t="n"/>
      <c r="E22" s="205" t="n"/>
      <c r="F22" s="205" t="n"/>
      <c r="G22" s="216" t="n"/>
      <c r="H22" s="130" t="inlineStr">
        <is>
          <t>Classificação de área</t>
        </is>
      </c>
      <c r="I22" s="205" t="n"/>
      <c r="J22" s="205" t="n"/>
      <c r="K22" s="205" t="n"/>
      <c r="L22" s="205" t="n"/>
      <c r="M22" s="206" t="n"/>
      <c r="N22" s="224" t="n"/>
      <c r="O22" s="184" t="n"/>
      <c r="P22" s="184" t="n"/>
      <c r="Q22" s="184" t="n"/>
      <c r="R22" s="184" t="n"/>
      <c r="S22" s="185" t="n"/>
      <c r="X22" s="69" t="n"/>
      <c r="Z22" s="69" t="n"/>
    </row>
    <row r="23" ht="13.8" customHeight="1" thickBot="1">
      <c r="A23" s="6" t="inlineStr">
        <is>
          <t>Guias</t>
        </is>
      </c>
      <c r="B23" s="230" t="n"/>
      <c r="C23" s="208" t="n"/>
      <c r="D23" s="208" t="n"/>
      <c r="E23" s="208" t="n"/>
      <c r="F23" s="208" t="n"/>
      <c r="G23" s="226" t="n"/>
      <c r="H23" s="147" t="inlineStr">
        <is>
          <t>Classificação do invólucro</t>
        </is>
      </c>
      <c r="I23" s="184" t="n"/>
      <c r="J23" s="184" t="n"/>
      <c r="K23" s="184" t="n"/>
      <c r="L23" s="184" t="n"/>
      <c r="M23" s="231" t="n"/>
      <c r="N23" s="224" t="n"/>
      <c r="O23" s="184" t="n"/>
      <c r="P23" s="184" t="n"/>
      <c r="Q23" s="184" t="n"/>
      <c r="R23" s="184" t="n"/>
      <c r="S23" s="185" t="n"/>
      <c r="X23" s="69" t="n"/>
      <c r="Z23" s="69" t="n"/>
    </row>
    <row r="24" ht="13.8" customHeight="1" thickBot="1">
      <c r="A24" s="220" t="inlineStr">
        <is>
          <t>ATUADOR</t>
        </is>
      </c>
      <c r="B24" s="221" t="n"/>
      <c r="C24" s="221" t="n"/>
      <c r="D24" s="221" t="n"/>
      <c r="E24" s="221" t="n"/>
      <c r="F24" s="221" t="n"/>
      <c r="G24" s="222" t="n"/>
      <c r="H24" s="220" t="inlineStr">
        <is>
          <t>DADOS DE PROCESSO</t>
        </is>
      </c>
      <c r="I24" s="221" t="n"/>
      <c r="J24" s="221" t="n"/>
      <c r="K24" s="221" t="n"/>
      <c r="L24" s="221" t="n"/>
      <c r="M24" s="221" t="n"/>
      <c r="N24" s="221" t="n"/>
      <c r="O24" s="221" t="n"/>
      <c r="P24" s="221" t="n"/>
      <c r="Q24" s="221" t="n"/>
      <c r="R24" s="221" t="n"/>
      <c r="S24" s="222" t="n"/>
    </row>
    <row r="25">
      <c r="A25" s="17" t="inlineStr">
        <is>
          <t>Tipo</t>
        </is>
      </c>
      <c r="B25" s="152" t="n"/>
      <c r="C25" s="181" t="n"/>
      <c r="D25" s="181" t="n"/>
      <c r="E25" s="181" t="n"/>
      <c r="F25" s="181" t="n"/>
      <c r="G25" s="181" t="n"/>
      <c r="H25" s="18" t="inlineStr">
        <is>
          <t>Fluido</t>
        </is>
      </c>
      <c r="I25" s="212" t="n"/>
      <c r="J25" s="212" t="n"/>
      <c r="K25" s="212" t="n"/>
      <c r="L25" s="212" t="n"/>
      <c r="M25" s="213" t="n"/>
      <c r="N25" s="232" t="inlineStr">
        <is>
          <t>(NOTA 1)</t>
        </is>
      </c>
      <c r="O25" s="173" t="n"/>
      <c r="P25" s="173" t="n"/>
      <c r="Q25" s="173" t="n"/>
      <c r="R25" s="173" t="n"/>
      <c r="S25" s="177" t="n"/>
    </row>
    <row r="26">
      <c r="A26" s="3" t="inlineStr">
        <is>
          <t>Range</t>
        </is>
      </c>
      <c r="B26" s="148" t="n"/>
      <c r="C26" s="205" t="n"/>
      <c r="D26" s="205" t="n"/>
      <c r="E26" s="205" t="n"/>
      <c r="F26" s="205" t="n"/>
      <c r="G26" s="205" t="n"/>
      <c r="H26" s="3" t="inlineStr">
        <is>
          <t>Estado físico</t>
        </is>
      </c>
      <c r="I26" s="205" t="n"/>
      <c r="J26" s="205" t="n"/>
      <c r="K26" s="205" t="n"/>
      <c r="L26" s="205" t="n"/>
      <c r="M26" s="206" t="n"/>
      <c r="N26" s="233" t="n"/>
      <c r="O26" s="184" t="n"/>
      <c r="P26" s="184" t="n"/>
      <c r="Q26" s="184" t="n"/>
      <c r="R26" s="184" t="n"/>
      <c r="S26" s="185" t="n"/>
    </row>
    <row r="27">
      <c r="A27" s="3" t="inlineStr">
        <is>
          <t>Volante</t>
        </is>
      </c>
      <c r="B27" s="148" t="n"/>
      <c r="C27" s="205" t="n"/>
      <c r="D27" s="205" t="n"/>
      <c r="E27" s="205" t="n"/>
      <c r="F27" s="205" t="n"/>
      <c r="G27" s="205" t="n"/>
      <c r="H27" s="3" t="inlineStr">
        <is>
          <t>Pressão de entrada</t>
        </is>
      </c>
      <c r="I27" s="205" t="n"/>
      <c r="J27" s="205" t="n"/>
      <c r="K27" s="205" t="n"/>
      <c r="L27" s="205" t="n"/>
      <c r="M27" s="206" t="n"/>
      <c r="N27" s="233" t="inlineStr">
        <is>
          <t>3,00</t>
        </is>
      </c>
      <c r="O27" s="184" t="n"/>
      <c r="P27" s="184" t="n"/>
      <c r="Q27" s="184" t="n"/>
      <c r="R27" s="184" t="n"/>
      <c r="S27" s="185" t="n"/>
    </row>
    <row r="28">
      <c r="A28" s="3" t="inlineStr">
        <is>
          <t>Ação em caso de falha</t>
        </is>
      </c>
      <c r="B28" s="148" t="n"/>
      <c r="C28" s="205" t="n"/>
      <c r="D28" s="205" t="n"/>
      <c r="E28" s="205" t="n"/>
      <c r="F28" s="205" t="n"/>
      <c r="G28" s="205" t="n"/>
      <c r="H28" s="3" t="inlineStr">
        <is>
          <t>Pressão de saída</t>
        </is>
      </c>
      <c r="I28" s="205" t="n"/>
      <c r="J28" s="205" t="n"/>
      <c r="K28" s="205" t="n"/>
      <c r="L28" s="205" t="n"/>
      <c r="M28" s="206" t="n"/>
      <c r="N28" s="233" t="n"/>
      <c r="O28" s="184" t="n"/>
      <c r="P28" s="184" t="n"/>
      <c r="Q28" s="184" t="n"/>
      <c r="R28" s="184" t="n"/>
      <c r="S28" s="185" t="n"/>
    </row>
    <row r="29" ht="13.8" customHeight="1" thickBot="1">
      <c r="A29" s="16" t="inlineStr">
        <is>
          <t>Pressão suprimento de ar (min/max)</t>
        </is>
      </c>
      <c r="B29" s="150" t="n"/>
      <c r="C29" s="184" t="n"/>
      <c r="D29" s="184" t="n"/>
      <c r="E29" s="184" t="n"/>
      <c r="F29" s="184" t="n"/>
      <c r="G29" s="184" t="n"/>
      <c r="H29" s="3" t="inlineStr">
        <is>
          <t>Viscosidade</t>
        </is>
      </c>
      <c r="I29" s="205" t="n"/>
      <c r="J29" s="205" t="n"/>
      <c r="K29" s="205" t="n"/>
      <c r="L29" s="205" t="n"/>
      <c r="M29" s="206" t="n"/>
      <c r="N29" s="233" t="inlineStr">
        <is>
          <t>&lt;50 cP</t>
        </is>
      </c>
      <c r="O29" s="184" t="n"/>
      <c r="P29" s="184" t="n"/>
      <c r="Q29" s="184" t="n"/>
      <c r="R29" s="184" t="n"/>
      <c r="S29" s="185" t="n"/>
    </row>
    <row r="30" ht="13.8" customHeight="1" thickBot="1">
      <c r="A30" s="142" t="inlineStr">
        <is>
          <t>POSICIONADOR</t>
        </is>
      </c>
      <c r="B30" s="221" t="n"/>
      <c r="C30" s="221" t="n"/>
      <c r="D30" s="221" t="n"/>
      <c r="E30" s="221" t="n"/>
      <c r="F30" s="221" t="n"/>
      <c r="G30" s="221" t="n"/>
      <c r="H30" s="3" t="inlineStr">
        <is>
          <t>Vazão normal</t>
        </is>
      </c>
      <c r="I30" s="205" t="n"/>
      <c r="J30" s="205" t="n"/>
      <c r="K30" s="205" t="n"/>
      <c r="L30" s="205" t="n"/>
      <c r="M30" s="206" t="n"/>
      <c r="N30" s="233" t="n"/>
      <c r="O30" s="184" t="n"/>
      <c r="P30" s="184" t="n"/>
      <c r="Q30" s="184" t="n"/>
      <c r="R30" s="184" t="n"/>
      <c r="S30" s="185" t="n"/>
    </row>
    <row r="31">
      <c r="A31" s="17" t="inlineStr">
        <is>
          <t>Tipo</t>
        </is>
      </c>
      <c r="B31" s="152" t="n"/>
      <c r="C31" s="181" t="n"/>
      <c r="D31" s="181" t="n"/>
      <c r="E31" s="181" t="n"/>
      <c r="F31" s="181" t="n"/>
      <c r="G31" s="181" t="n"/>
      <c r="H31" s="3" t="inlineStr">
        <is>
          <t>Vazão máxima</t>
        </is>
      </c>
      <c r="I31" s="205" t="n"/>
      <c r="J31" s="205" t="n"/>
      <c r="K31" s="205" t="n"/>
      <c r="L31" s="205" t="n"/>
      <c r="M31" s="206" t="n"/>
      <c r="N31" s="233" t="inlineStr">
        <is>
          <t>30.0</t>
        </is>
      </c>
      <c r="O31" s="184" t="n"/>
      <c r="P31" s="184" t="n"/>
      <c r="Q31" s="184" t="n"/>
      <c r="R31" s="184" t="n"/>
      <c r="S31" s="185" t="n"/>
    </row>
    <row r="32">
      <c r="A32" s="3" t="inlineStr">
        <is>
          <t>By-pass</t>
        </is>
      </c>
      <c r="B32" s="148" t="n"/>
      <c r="C32" s="205" t="n"/>
      <c r="D32" s="205" t="n"/>
      <c r="E32" s="205" t="n"/>
      <c r="F32" s="205" t="n"/>
      <c r="G32" s="205" t="n"/>
      <c r="H32" s="3" t="inlineStr">
        <is>
          <t>Vazão mínima</t>
        </is>
      </c>
      <c r="I32" s="205" t="n"/>
      <c r="J32" s="205" t="n"/>
      <c r="K32" s="205" t="n"/>
      <c r="L32" s="205" t="n"/>
      <c r="M32" s="206" t="n"/>
      <c r="N32" s="233" t="inlineStr">
        <is>
          <t>15.0</t>
        </is>
      </c>
      <c r="O32" s="184" t="n"/>
      <c r="P32" s="184" t="n"/>
      <c r="Q32" s="184" t="n"/>
      <c r="R32" s="184" t="n"/>
      <c r="S32" s="185" t="n"/>
    </row>
    <row r="33">
      <c r="A33" s="3" t="inlineStr">
        <is>
          <t>Manômetros quantidade</t>
        </is>
      </c>
      <c r="B33" s="148" t="n"/>
      <c r="C33" s="205" t="n"/>
      <c r="D33" s="205" t="n"/>
      <c r="E33" s="205" t="n"/>
      <c r="F33" s="205" t="n"/>
      <c r="G33" s="205" t="n"/>
      <c r="H33" s="3" t="inlineStr">
        <is>
          <t>Pressão shut off</t>
        </is>
      </c>
      <c r="I33" s="205" t="n"/>
      <c r="J33" s="205" t="n"/>
      <c r="K33" s="205" t="n"/>
      <c r="L33" s="205" t="n"/>
      <c r="M33" s="206" t="n"/>
      <c r="N33" s="233" t="n"/>
      <c r="O33" s="184" t="n"/>
      <c r="P33" s="184" t="n"/>
      <c r="Q33" s="184" t="n"/>
      <c r="R33" s="184" t="n"/>
      <c r="S33" s="185" t="n"/>
    </row>
    <row r="34">
      <c r="A34" s="3" t="inlineStr">
        <is>
          <t>Sinal de entrada</t>
        </is>
      </c>
      <c r="B34" s="148" t="n"/>
      <c r="C34" s="205" t="n"/>
      <c r="D34" s="205" t="n"/>
      <c r="E34" s="205" t="n"/>
      <c r="F34" s="205" t="n"/>
      <c r="G34" s="205" t="n"/>
      <c r="H34" s="3" t="inlineStr">
        <is>
          <t>Temperatura máxima</t>
        </is>
      </c>
      <c r="I34" s="205" t="n"/>
      <c r="J34" s="205" t="n"/>
      <c r="K34" s="205" t="n"/>
      <c r="L34" s="205" t="n"/>
      <c r="M34" s="206" t="n"/>
      <c r="N34" s="233" t="inlineStr">
        <is>
          <t>35</t>
        </is>
      </c>
      <c r="O34" s="184" t="n"/>
      <c r="P34" s="184" t="n"/>
      <c r="Q34" s="184" t="n"/>
      <c r="R34" s="184" t="n"/>
      <c r="S34" s="185" t="n"/>
    </row>
    <row r="35">
      <c r="A35" s="3" t="inlineStr">
        <is>
          <t>Sial de saída</t>
        </is>
      </c>
      <c r="B35" s="148" t="n"/>
      <c r="C35" s="205" t="n"/>
      <c r="D35" s="205" t="n"/>
      <c r="E35" s="205" t="n"/>
      <c r="F35" s="205" t="n"/>
      <c r="G35" s="205" t="n"/>
      <c r="H35" s="3" t="inlineStr">
        <is>
          <t>Temperatura normal</t>
        </is>
      </c>
      <c r="I35" s="205" t="n"/>
      <c r="J35" s="205" t="n"/>
      <c r="K35" s="205" t="n"/>
      <c r="L35" s="205" t="n"/>
      <c r="M35" s="206" t="n"/>
      <c r="N35" s="233" t="n"/>
      <c r="O35" s="184" t="n"/>
      <c r="P35" s="184" t="n"/>
      <c r="Q35" s="184" t="n"/>
      <c r="R35" s="184" t="n"/>
      <c r="S35" s="185" t="n"/>
    </row>
    <row r="36">
      <c r="A36" s="3" t="inlineStr">
        <is>
          <t>Característica do came</t>
        </is>
      </c>
      <c r="B36" s="148" t="n"/>
      <c r="C36" s="205" t="n"/>
      <c r="D36" s="205" t="n"/>
      <c r="E36" s="205" t="n"/>
      <c r="F36" s="205" t="n"/>
      <c r="G36" s="205" t="n"/>
      <c r="H36" s="3" t="inlineStr">
        <is>
          <t>Massa específica</t>
        </is>
      </c>
      <c r="I36" s="205" t="n"/>
      <c r="J36" s="205" t="n"/>
      <c r="K36" s="205" t="n"/>
      <c r="L36" s="205" t="n"/>
      <c r="M36" s="206" t="n"/>
      <c r="N36" s="233" t="inlineStr">
        <is>
          <t>1120 kg/m³</t>
        </is>
      </c>
      <c r="O36" s="184" t="n"/>
      <c r="P36" s="184" t="n"/>
      <c r="Q36" s="184" t="n"/>
      <c r="R36" s="184" t="n"/>
      <c r="S36" s="185" t="n"/>
    </row>
    <row r="37" ht="13.8" customHeight="1" thickBot="1">
      <c r="A37" s="16" t="inlineStr">
        <is>
          <t>Alimentação de ar</t>
        </is>
      </c>
      <c r="B37" s="150" t="n"/>
      <c r="C37" s="184" t="n"/>
      <c r="D37" s="184" t="n"/>
      <c r="E37" s="184" t="n"/>
      <c r="F37" s="184" t="n"/>
      <c r="G37" s="184" t="n"/>
      <c r="H37" s="3" t="inlineStr">
        <is>
          <t>Cv calculado (máximo) / % abertura</t>
        </is>
      </c>
      <c r="I37" s="205" t="n"/>
      <c r="J37" s="205" t="n"/>
      <c r="K37" s="205" t="n"/>
      <c r="L37" s="205" t="n"/>
      <c r="M37" s="206" t="n"/>
      <c r="N37" s="224" t="n"/>
      <c r="O37" s="184" t="n"/>
      <c r="P37" s="184" t="n"/>
      <c r="Q37" s="184" t="n"/>
      <c r="R37" s="184" t="n"/>
      <c r="S37" s="185" t="n"/>
    </row>
    <row r="38" ht="13.8" customHeight="1" thickBot="1">
      <c r="A38" s="142" t="inlineStr">
        <is>
          <t>ACESSÓRIOS</t>
        </is>
      </c>
      <c r="B38" s="221" t="n"/>
      <c r="C38" s="221" t="n"/>
      <c r="D38" s="221" t="n"/>
      <c r="E38" s="221" t="n"/>
      <c r="F38" s="221" t="n"/>
      <c r="G38" s="221" t="n"/>
      <c r="H38" s="3" t="inlineStr">
        <is>
          <t>Cv calculado (normal) / % abertura</t>
        </is>
      </c>
      <c r="I38" s="205" t="n"/>
      <c r="J38" s="205" t="n"/>
      <c r="K38" s="205" t="n"/>
      <c r="L38" s="205" t="n"/>
      <c r="M38" s="206" t="n"/>
      <c r="N38" s="224" t="n"/>
      <c r="O38" s="184" t="n"/>
      <c r="P38" s="184" t="n"/>
      <c r="Q38" s="184" t="n"/>
      <c r="R38" s="184" t="n"/>
      <c r="S38" s="185" t="n"/>
    </row>
    <row r="39">
      <c r="A39" s="17" t="inlineStr">
        <is>
          <t>Filtro / Filtro regulador</t>
        </is>
      </c>
      <c r="B39" s="152" t="n"/>
      <c r="C39" s="181" t="n"/>
      <c r="D39" s="181" t="n"/>
      <c r="E39" s="181" t="n"/>
      <c r="F39" s="181" t="n"/>
      <c r="G39" s="181" t="n"/>
      <c r="H39" s="3" t="inlineStr">
        <is>
          <t>Cv calculado (mínimo) / % abertura</t>
        </is>
      </c>
      <c r="I39" s="205" t="n"/>
      <c r="J39" s="205" t="n"/>
      <c r="K39" s="205" t="n"/>
      <c r="L39" s="205" t="n"/>
      <c r="M39" s="206" t="n"/>
      <c r="N39" s="224" t="n"/>
      <c r="O39" s="184" t="n"/>
      <c r="P39" s="184" t="n"/>
      <c r="Q39" s="184" t="n"/>
      <c r="R39" s="184" t="n"/>
      <c r="S39" s="185" t="n"/>
    </row>
    <row r="40">
      <c r="A40" s="3" t="inlineStr">
        <is>
          <t>Manômetro para o regulador</t>
        </is>
      </c>
      <c r="B40" s="148" t="n"/>
      <c r="C40" s="205" t="n"/>
      <c r="D40" s="205" t="n"/>
      <c r="E40" s="205" t="n"/>
      <c r="F40" s="205" t="n"/>
      <c r="G40" s="205" t="n"/>
      <c r="H40" s="3" t="inlineStr">
        <is>
          <t>Cv selecionado</t>
        </is>
      </c>
      <c r="I40" s="205" t="n"/>
      <c r="J40" s="205" t="n"/>
      <c r="K40" s="205" t="n"/>
      <c r="L40" s="205" t="n"/>
      <c r="M40" s="206" t="n"/>
      <c r="N40" s="224" t="n"/>
      <c r="O40" s="184" t="n"/>
      <c r="P40" s="184" t="n"/>
      <c r="Q40" s="184" t="n"/>
      <c r="R40" s="184" t="n"/>
      <c r="S40" s="185" t="n"/>
    </row>
    <row r="41" ht="13.8" customHeight="1" thickBot="1">
      <c r="A41" s="6" t="inlineStr">
        <is>
          <t>Posição do volante</t>
        </is>
      </c>
      <c r="B41" s="154" t="n"/>
      <c r="C41" s="208" t="n"/>
      <c r="D41" s="208" t="n"/>
      <c r="E41" s="208" t="n"/>
      <c r="F41" s="208" t="n"/>
      <c r="G41" s="208" t="n"/>
      <c r="H41" s="6" t="inlineStr">
        <is>
          <t>Nível de ruído</t>
        </is>
      </c>
      <c r="I41" s="208" t="n"/>
      <c r="J41" s="208" t="n"/>
      <c r="K41" s="208" t="n"/>
      <c r="L41" s="208" t="n"/>
      <c r="M41" s="209" t="n"/>
      <c r="N41" s="225" t="n"/>
      <c r="O41" s="208" t="n"/>
      <c r="P41" s="208" t="n"/>
      <c r="Q41" s="208" t="n"/>
      <c r="R41" s="208" t="n"/>
      <c r="S41" s="226" t="n"/>
    </row>
    <row r="42">
      <c r="A42" s="234" t="inlineStr">
        <is>
          <t>Notas:</t>
        </is>
      </c>
      <c r="B42" s="173" t="n"/>
      <c r="C42" s="173" t="n"/>
      <c r="D42" s="173" t="n"/>
      <c r="E42" s="173" t="n"/>
      <c r="F42" s="173" t="n"/>
      <c r="G42" s="173" t="n"/>
      <c r="H42" s="173" t="n"/>
      <c r="I42" s="173" t="n"/>
      <c r="J42" s="173" t="n"/>
      <c r="K42" s="173" t="n"/>
      <c r="L42" s="173" t="n"/>
      <c r="M42" s="173" t="n"/>
      <c r="N42" s="173" t="n"/>
      <c r="O42" s="173" t="n"/>
      <c r="P42" s="173" t="n"/>
      <c r="Q42" s="173" t="n"/>
      <c r="R42" s="173" t="n"/>
      <c r="S42" s="177" t="n"/>
    </row>
    <row r="43" ht="13.8" customHeight="1" thickBot="1">
      <c r="A43" s="235" t="inlineStr">
        <is>
          <t>(NOTA 1): CRESTIVO (A16003E); BIRK 25% (A25191A); BIRTEA; CRESTIVO DUO</t>
        </is>
      </c>
      <c r="B43" s="197" t="n"/>
      <c r="C43" s="197" t="n"/>
      <c r="D43" s="197" t="n"/>
      <c r="E43" s="197" t="n"/>
      <c r="F43" s="197" t="n"/>
      <c r="G43" s="197" t="n"/>
      <c r="H43" s="197" t="n"/>
      <c r="I43" s="197" t="n"/>
      <c r="J43" s="197" t="n"/>
      <c r="K43" s="197" t="n"/>
      <c r="L43" s="197" t="n"/>
      <c r="M43" s="197" t="n"/>
      <c r="N43" s="197" t="n"/>
      <c r="O43" s="197" t="n"/>
      <c r="P43" s="197" t="n"/>
      <c r="Q43" s="197" t="n"/>
      <c r="R43" s="197" t="n"/>
      <c r="S43" s="199" t="n"/>
    </row>
    <row r="44">
      <c r="A44" s="7" t="n"/>
    </row>
    <row r="45">
      <c r="A45" s="2" t="n"/>
    </row>
    <row r="46">
      <c r="A46" s="2" t="n"/>
    </row>
    <row r="47">
      <c r="A47" s="2" t="n"/>
    </row>
    <row r="48">
      <c r="A48" s="2" t="n"/>
    </row>
    <row r="49">
      <c r="A49" s="2" t="n"/>
    </row>
    <row r="50">
      <c r="A50" s="2" t="n"/>
    </row>
    <row r="51">
      <c r="A51" s="2" t="n"/>
    </row>
    <row r="52">
      <c r="A52" s="2" t="n"/>
    </row>
    <row r="53">
      <c r="A53" s="2" t="n"/>
    </row>
    <row r="54">
      <c r="A54" s="2" t="n"/>
    </row>
  </sheetData>
  <mergeCells count="116">
    <mergeCell ref="H21:M21"/>
    <mergeCell ref="N23:S23"/>
    <mergeCell ref="B8:G8"/>
    <mergeCell ref="N18:S18"/>
    <mergeCell ref="A1:A4"/>
    <mergeCell ref="N8:S8"/>
    <mergeCell ref="H7:M7"/>
    <mergeCell ref="B10:G10"/>
    <mergeCell ref="N10:S10"/>
    <mergeCell ref="A30:G30"/>
    <mergeCell ref="H27:M27"/>
    <mergeCell ref="N34:S34"/>
    <mergeCell ref="H33:M33"/>
    <mergeCell ref="B36:G36"/>
    <mergeCell ref="N27:S27"/>
    <mergeCell ref="H5:S5"/>
    <mergeCell ref="N36:S36"/>
    <mergeCell ref="H35:M35"/>
    <mergeCell ref="N11:S11"/>
    <mergeCell ref="N20:S20"/>
    <mergeCell ref="B22:G22"/>
    <mergeCell ref="B31:G31"/>
    <mergeCell ref="N22:S22"/>
    <mergeCell ref="H9:M9"/>
    <mergeCell ref="B12:G12"/>
    <mergeCell ref="H39:M39"/>
    <mergeCell ref="B21:G21"/>
    <mergeCell ref="B39:G39"/>
    <mergeCell ref="N12:S12"/>
    <mergeCell ref="N21:S21"/>
    <mergeCell ref="B14:G14"/>
    <mergeCell ref="B23:G23"/>
    <mergeCell ref="N14:S14"/>
    <mergeCell ref="B13:G13"/>
    <mergeCell ref="A43:S43"/>
    <mergeCell ref="N38:S38"/>
    <mergeCell ref="H16:S16"/>
    <mergeCell ref="H32:M32"/>
    <mergeCell ref="H13:M13"/>
    <mergeCell ref="N40:S40"/>
    <mergeCell ref="B33:G33"/>
    <mergeCell ref="H15:M15"/>
    <mergeCell ref="H18:M18"/>
    <mergeCell ref="B41:G41"/>
    <mergeCell ref="B35:G35"/>
    <mergeCell ref="C2:S2"/>
    <mergeCell ref="H8:M8"/>
    <mergeCell ref="N26:S26"/>
    <mergeCell ref="N35:S35"/>
    <mergeCell ref="H26:M26"/>
    <mergeCell ref="B25:G25"/>
    <mergeCell ref="N25:S25"/>
    <mergeCell ref="H10:M10"/>
    <mergeCell ref="H41:M41"/>
    <mergeCell ref="B27:G27"/>
    <mergeCell ref="H34:M34"/>
    <mergeCell ref="H25:M25"/>
    <mergeCell ref="B11:G11"/>
    <mergeCell ref="A5:G5"/>
    <mergeCell ref="A42:S42"/>
    <mergeCell ref="H36:M36"/>
    <mergeCell ref="A38:G38"/>
    <mergeCell ref="H17:M17"/>
    <mergeCell ref="N39:S39"/>
    <mergeCell ref="H11:M11"/>
    <mergeCell ref="B29:G29"/>
    <mergeCell ref="N29:S29"/>
    <mergeCell ref="H19:M19"/>
    <mergeCell ref="H28:M28"/>
    <mergeCell ref="H37:M37"/>
    <mergeCell ref="A24:G24"/>
    <mergeCell ref="N13:S13"/>
    <mergeCell ref="B40:G40"/>
    <mergeCell ref="H12:M12"/>
    <mergeCell ref="N31:S31"/>
    <mergeCell ref="B15:G15"/>
    <mergeCell ref="J1:S1"/>
    <mergeCell ref="N6:S6"/>
    <mergeCell ref="N15:S15"/>
    <mergeCell ref="H24:S24"/>
    <mergeCell ref="H14:M14"/>
    <mergeCell ref="B32:G32"/>
    <mergeCell ref="H23:M23"/>
    <mergeCell ref="A16:G16"/>
    <mergeCell ref="B26:G26"/>
    <mergeCell ref="Y16:Y23"/>
    <mergeCell ref="B7:G7"/>
    <mergeCell ref="H38:M38"/>
    <mergeCell ref="N32:S32"/>
    <mergeCell ref="N7:S7"/>
    <mergeCell ref="N41:S41"/>
    <mergeCell ref="H40:M40"/>
    <mergeCell ref="B18:G18"/>
    <mergeCell ref="N33:S33"/>
    <mergeCell ref="B17:G17"/>
    <mergeCell ref="N17:S17"/>
    <mergeCell ref="B19:G19"/>
    <mergeCell ref="B34:G34"/>
    <mergeCell ref="B28:G28"/>
    <mergeCell ref="B37:G37"/>
    <mergeCell ref="N19:S19"/>
    <mergeCell ref="H22:M22"/>
    <mergeCell ref="B9:G9"/>
    <mergeCell ref="N28:S28"/>
    <mergeCell ref="N9:S9"/>
    <mergeCell ref="B6:G6"/>
    <mergeCell ref="B20:G20"/>
    <mergeCell ref="N30:S30"/>
    <mergeCell ref="B3:S4"/>
    <mergeCell ref="H30:M30"/>
    <mergeCell ref="H20:M20"/>
    <mergeCell ref="H29:M29"/>
    <mergeCell ref="B1:H1"/>
    <mergeCell ref="N37:S37"/>
    <mergeCell ref="H31:M31"/>
    <mergeCell ref="H6:M6"/>
  </mergeCells>
  <pageMargins left="0.25" right="0.25" top="0.75" bottom="0.75" header="0.3" footer="0.3"/>
  <pageSetup orientation="portrait" paperSize="9" scale="82"/>
</worksheet>
</file>

<file path=xl/worksheets/sheet17.xml><?xml version="1.0" encoding="utf-8"?>
<worksheet xmlns="http://schemas.openxmlformats.org/spreadsheetml/2006/main">
  <sheetPr codeName="Planilha2">
    <outlinePr summaryBelow="1" summaryRight="1"/>
    <pageSetUpPr fitToPage="1"/>
  </sheetPr>
  <dimension ref="A1:Z54"/>
  <sheetViews>
    <sheetView workbookViewId="0">
      <selection activeCell="A1" sqref="A1"/>
    </sheetView>
  </sheetViews>
  <sheetFormatPr baseColWidth="8" defaultRowHeight="13.2"/>
  <cols>
    <col width="35.109375" bestFit="1" customWidth="1" style="137" min="1" max="1"/>
    <col width="4.88671875" customWidth="1" style="137" min="2" max="19"/>
  </cols>
  <sheetData>
    <row r="1" ht="14.25" customHeight="1">
      <c r="A1" s="210">
        <f>_xlfn.IMAGE("https://technikgrupo.sharepoint.com/sites/transfer/Logos/Technik.png")</f>
        <v/>
      </c>
      <c r="B1" s="211" t="inlineStr">
        <is>
          <t>FOLHA DE DADOS</t>
        </is>
      </c>
      <c r="C1" s="212" t="n"/>
      <c r="D1" s="212" t="n"/>
      <c r="E1" s="212" t="n"/>
      <c r="F1" s="212" t="n"/>
      <c r="G1" s="212" t="n"/>
      <c r="H1" s="213" t="n"/>
      <c r="I1" s="19" t="inlineStr">
        <is>
          <t>Nº.:</t>
        </is>
      </c>
      <c r="J1" s="166">
        <f>"FD-"&amp;Config!D2&amp;"-"&amp;Config!F2&amp;"-001"</f>
        <v/>
      </c>
      <c r="K1" s="212" t="n"/>
      <c r="L1" s="212" t="n"/>
      <c r="M1" s="212" t="n"/>
      <c r="N1" s="212" t="n"/>
      <c r="O1" s="212" t="n"/>
      <c r="P1" s="212" t="n"/>
      <c r="Q1" s="212" t="n"/>
      <c r="R1" s="212" t="n"/>
      <c r="S1" s="214" t="n"/>
    </row>
    <row r="2" ht="14.25" customHeight="1">
      <c r="A2" s="215" t="n"/>
      <c r="B2" s="20" t="inlineStr">
        <is>
          <t>ÁREA:</t>
        </is>
      </c>
      <c r="C2" s="164" t="inlineStr">
        <is>
          <t>PÁTIO D3</t>
        </is>
      </c>
      <c r="D2" s="205" t="n"/>
      <c r="E2" s="205" t="n"/>
      <c r="F2" s="205" t="n"/>
      <c r="G2" s="205" t="n"/>
      <c r="H2" s="205" t="n"/>
      <c r="I2" s="205" t="n"/>
      <c r="J2" s="205" t="n"/>
      <c r="K2" s="205" t="n"/>
      <c r="L2" s="205" t="n"/>
      <c r="M2" s="205" t="n"/>
      <c r="N2" s="205" t="n"/>
      <c r="O2" s="205" t="n"/>
      <c r="P2" s="205" t="n"/>
      <c r="Q2" s="205" t="n"/>
      <c r="R2" s="205" t="n"/>
      <c r="S2" s="216" t="n"/>
    </row>
    <row r="3" ht="14.25" customHeight="1">
      <c r="A3" s="215" t="n"/>
      <c r="B3" s="217" t="inlineStr">
        <is>
          <t>VÁLVULA ON OFF</t>
        </is>
      </c>
      <c r="C3" s="184" t="n"/>
      <c r="D3" s="184" t="n"/>
      <c r="E3" s="184" t="n"/>
      <c r="F3" s="184" t="n"/>
      <c r="G3" s="184" t="n"/>
      <c r="H3" s="184" t="n"/>
      <c r="I3" s="184" t="n"/>
      <c r="J3" s="184" t="n"/>
      <c r="K3" s="184" t="n"/>
      <c r="L3" s="184" t="n"/>
      <c r="M3" s="184" t="n"/>
      <c r="N3" s="184" t="n"/>
      <c r="O3" s="184" t="n"/>
      <c r="P3" s="184" t="n"/>
      <c r="Q3" s="184" t="n"/>
      <c r="R3" s="184" t="n"/>
      <c r="S3" s="185" t="n"/>
    </row>
    <row r="4" ht="14.25" customHeight="1" thickBot="1">
      <c r="A4" s="218" t="n"/>
      <c r="B4" s="219" t="n"/>
      <c r="C4" s="197" t="n"/>
      <c r="D4" s="197" t="n"/>
      <c r="E4" s="197" t="n"/>
      <c r="F4" s="197" t="n"/>
      <c r="G4" s="197" t="n"/>
      <c r="H4" s="197" t="n"/>
      <c r="I4" s="197" t="n"/>
      <c r="J4" s="197" t="n"/>
      <c r="K4" s="197" t="n"/>
      <c r="L4" s="197" t="n"/>
      <c r="M4" s="197" t="n"/>
      <c r="N4" s="197" t="n"/>
      <c r="O4" s="197" t="n"/>
      <c r="P4" s="197" t="n"/>
      <c r="Q4" s="197" t="n"/>
      <c r="R4" s="197" t="n"/>
      <c r="S4" s="199" t="n"/>
    </row>
    <row r="5" ht="13.8" customHeight="1" thickBot="1">
      <c r="A5" s="220" t="inlineStr">
        <is>
          <t>GERAL</t>
        </is>
      </c>
      <c r="B5" s="221" t="n"/>
      <c r="C5" s="221" t="n"/>
      <c r="D5" s="221" t="n"/>
      <c r="E5" s="221" t="n"/>
      <c r="F5" s="221" t="n"/>
      <c r="G5" s="222" t="n"/>
      <c r="H5" s="220" t="inlineStr">
        <is>
          <t>VÁLVULA SOLENÓIDE</t>
        </is>
      </c>
      <c r="I5" s="221" t="n"/>
      <c r="J5" s="221" t="n"/>
      <c r="K5" s="221" t="n"/>
      <c r="L5" s="221" t="n"/>
      <c r="M5" s="221" t="n"/>
      <c r="N5" s="221" t="n"/>
      <c r="O5" s="221" t="n"/>
      <c r="P5" s="221" t="n"/>
      <c r="Q5" s="221" t="n"/>
      <c r="R5" s="221" t="n"/>
      <c r="S5" s="222" t="n"/>
    </row>
    <row r="6">
      <c r="A6" s="17" t="inlineStr">
        <is>
          <t>TAG / Quantidade</t>
        </is>
      </c>
      <c r="B6" s="167" t="inlineStr">
        <is>
          <t>XV-1715.5</t>
        </is>
      </c>
      <c r="C6" s="181" t="n"/>
      <c r="D6" s="181" t="n"/>
      <c r="E6" s="181" t="n"/>
      <c r="F6" s="181" t="n"/>
      <c r="G6" s="181" t="n"/>
      <c r="H6" s="18" t="inlineStr">
        <is>
          <t>TAG</t>
        </is>
      </c>
      <c r="I6" s="212" t="n"/>
      <c r="J6" s="212" t="n"/>
      <c r="K6" s="212" t="n"/>
      <c r="L6" s="212" t="n"/>
      <c r="M6" s="213" t="n"/>
      <c r="N6" s="223" t="n"/>
      <c r="O6" s="173" t="n"/>
      <c r="P6" s="173" t="n"/>
      <c r="Q6" s="173" t="n"/>
      <c r="R6" s="173" t="n"/>
      <c r="S6" s="177" t="n"/>
    </row>
    <row r="7">
      <c r="A7" s="3" t="inlineStr">
        <is>
          <t>Função</t>
        </is>
      </c>
      <c r="B7" s="158" t="n"/>
      <c r="C7" s="205" t="n"/>
      <c r="D7" s="205" t="n"/>
      <c r="E7" s="205" t="n"/>
      <c r="F7" s="205" t="n"/>
      <c r="G7" s="205" t="n"/>
      <c r="H7" s="3" t="inlineStr">
        <is>
          <t>Tipo</t>
        </is>
      </c>
      <c r="I7" s="205" t="n"/>
      <c r="J7" s="205" t="n"/>
      <c r="K7" s="205" t="n"/>
      <c r="L7" s="205" t="n"/>
      <c r="M7" s="206" t="n"/>
      <c r="N7" s="224" t="n"/>
      <c r="O7" s="184" t="n"/>
      <c r="P7" s="184" t="n"/>
      <c r="Q7" s="184" t="n"/>
      <c r="R7" s="184" t="n"/>
      <c r="S7" s="185" t="n"/>
    </row>
    <row r="8">
      <c r="A8" s="4" t="inlineStr">
        <is>
          <t>Fluxograma</t>
        </is>
      </c>
      <c r="B8" s="158" t="inlineStr">
        <is>
          <t>PHS2-PR27-1701-FL.01 Rev. 74I</t>
        </is>
      </c>
      <c r="C8" s="205" t="n"/>
      <c r="D8" s="205" t="n"/>
      <c r="E8" s="205" t="n"/>
      <c r="F8" s="205" t="n"/>
      <c r="G8" s="205" t="n"/>
      <c r="H8" s="3" t="inlineStr">
        <is>
          <t>Número de vias/posições</t>
        </is>
      </c>
      <c r="I8" s="205" t="n"/>
      <c r="J8" s="205" t="n"/>
      <c r="K8" s="205" t="n"/>
      <c r="L8" s="205" t="n"/>
      <c r="M8" s="206" t="n"/>
      <c r="N8" s="224" t="n"/>
      <c r="O8" s="184" t="n"/>
      <c r="P8" s="184" t="n"/>
      <c r="Q8" s="184" t="n"/>
      <c r="R8" s="184" t="n"/>
      <c r="S8" s="185" t="n"/>
    </row>
    <row r="9">
      <c r="A9" s="3" t="inlineStr">
        <is>
          <t>Bitola da linha</t>
        </is>
      </c>
      <c r="B9" s="158" t="n"/>
      <c r="C9" s="205" t="n"/>
      <c r="D9" s="205" t="n"/>
      <c r="E9" s="205" t="n"/>
      <c r="F9" s="205" t="n"/>
      <c r="G9" s="205" t="n"/>
      <c r="H9" s="3" t="inlineStr">
        <is>
          <t>Material do corpo</t>
        </is>
      </c>
      <c r="I9" s="205" t="n"/>
      <c r="J9" s="205" t="n"/>
      <c r="K9" s="205" t="n"/>
      <c r="L9" s="205" t="n"/>
      <c r="M9" s="206" t="n"/>
      <c r="N9" s="224" t="n"/>
      <c r="O9" s="184" t="n"/>
      <c r="P9" s="184" t="n"/>
      <c r="Q9" s="184" t="n"/>
      <c r="R9" s="184" t="n"/>
      <c r="S9" s="185" t="n"/>
    </row>
    <row r="10">
      <c r="A10" s="3" t="inlineStr">
        <is>
          <t>Tipo do corpo</t>
        </is>
      </c>
      <c r="B10" s="158" t="inlineStr">
        <is>
          <t>ESFERA AUTOMÁTICA</t>
        </is>
      </c>
      <c r="C10" s="205" t="n"/>
      <c r="D10" s="205" t="n"/>
      <c r="E10" s="205" t="n"/>
      <c r="F10" s="205" t="n"/>
      <c r="G10" s="205" t="n"/>
      <c r="H10" s="3" t="inlineStr">
        <is>
          <t>Classe da bobina</t>
        </is>
      </c>
      <c r="I10" s="205" t="n"/>
      <c r="J10" s="205" t="n"/>
      <c r="K10" s="205" t="n"/>
      <c r="L10" s="205" t="n"/>
      <c r="M10" s="206" t="n"/>
      <c r="N10" s="224" t="n"/>
      <c r="O10" s="184" t="n"/>
      <c r="P10" s="184" t="n"/>
      <c r="Q10" s="184" t="n"/>
      <c r="R10" s="184" t="n"/>
      <c r="S10" s="185" t="n"/>
    </row>
    <row r="11">
      <c r="A11" s="3" t="inlineStr">
        <is>
          <t>Material do corpo</t>
        </is>
      </c>
      <c r="B11" s="158" t="n"/>
      <c r="C11" s="205" t="n"/>
      <c r="D11" s="205" t="n"/>
      <c r="E11" s="205" t="n"/>
      <c r="F11" s="205" t="n"/>
      <c r="G11" s="205" t="n"/>
      <c r="H11" s="3" t="inlineStr">
        <is>
          <t>Número de bobinas</t>
        </is>
      </c>
      <c r="I11" s="205" t="n"/>
      <c r="J11" s="205" t="n"/>
      <c r="K11" s="205" t="n"/>
      <c r="L11" s="205" t="n"/>
      <c r="M11" s="206" t="n"/>
      <c r="N11" s="224" t="n"/>
      <c r="O11" s="184" t="n"/>
      <c r="P11" s="184" t="n"/>
      <c r="Q11" s="184" t="n"/>
      <c r="R11" s="184" t="n"/>
      <c r="S11" s="185" t="n"/>
    </row>
    <row r="12">
      <c r="A12" s="3" t="inlineStr">
        <is>
          <t>Diâmetro da válvula</t>
        </is>
      </c>
      <c r="B12" s="158" t="inlineStr">
        <is>
          <t>-</t>
        </is>
      </c>
      <c r="C12" s="205" t="n"/>
      <c r="D12" s="205" t="n"/>
      <c r="E12" s="205" t="n"/>
      <c r="F12" s="205" t="n"/>
      <c r="G12" s="205" t="n"/>
      <c r="H12" s="3" t="inlineStr">
        <is>
          <t>Conexão elétrica</t>
        </is>
      </c>
      <c r="I12" s="205" t="n"/>
      <c r="J12" s="205" t="n"/>
      <c r="K12" s="205" t="n"/>
      <c r="L12" s="205" t="n"/>
      <c r="M12" s="206" t="n"/>
      <c r="N12" s="224" t="n"/>
      <c r="O12" s="184" t="n"/>
      <c r="P12" s="184" t="n"/>
      <c r="Q12" s="184" t="n"/>
      <c r="R12" s="184" t="n"/>
      <c r="S12" s="185" t="n"/>
    </row>
    <row r="13">
      <c r="A13" s="3" t="inlineStr">
        <is>
          <t>Conexões e faceamento</t>
        </is>
      </c>
      <c r="B13" s="148" t="n"/>
      <c r="C13" s="205" t="n"/>
      <c r="D13" s="205" t="n"/>
      <c r="E13" s="205" t="n"/>
      <c r="F13" s="205" t="n"/>
      <c r="G13" s="205" t="n"/>
      <c r="H13" s="3" t="inlineStr">
        <is>
          <t>Conexão pneumática</t>
        </is>
      </c>
      <c r="I13" s="205" t="n"/>
      <c r="J13" s="205" t="n"/>
      <c r="K13" s="205" t="n"/>
      <c r="L13" s="205" t="n"/>
      <c r="M13" s="206" t="n"/>
      <c r="N13" s="224" t="n"/>
      <c r="O13" s="184" t="n"/>
      <c r="P13" s="184" t="n"/>
      <c r="Q13" s="184" t="n"/>
      <c r="R13" s="184" t="n"/>
      <c r="S13" s="185" t="n"/>
    </row>
    <row r="14">
      <c r="A14" s="3" t="inlineStr">
        <is>
          <t>Castelo</t>
        </is>
      </c>
      <c r="B14" s="148" t="n"/>
      <c r="C14" s="205" t="n"/>
      <c r="D14" s="205" t="n"/>
      <c r="E14" s="205" t="n"/>
      <c r="F14" s="205" t="n"/>
      <c r="G14" s="205" t="n"/>
      <c r="H14" s="3" t="inlineStr">
        <is>
          <t>Classificação da área</t>
        </is>
      </c>
      <c r="I14" s="205" t="n"/>
      <c r="J14" s="205" t="n"/>
      <c r="K14" s="205" t="n"/>
      <c r="L14" s="205" t="n"/>
      <c r="M14" s="206" t="n"/>
      <c r="N14" s="224" t="n"/>
      <c r="O14" s="184" t="n"/>
      <c r="P14" s="184" t="n"/>
      <c r="Q14" s="184" t="n"/>
      <c r="R14" s="184" t="n"/>
      <c r="S14" s="185" t="n"/>
    </row>
    <row r="15" ht="13.8" customHeight="1" thickBot="1">
      <c r="A15" s="16" t="inlineStr">
        <is>
          <t>Classe de vedação</t>
        </is>
      </c>
      <c r="B15" s="150" t="n"/>
      <c r="C15" s="184" t="n"/>
      <c r="D15" s="184" t="n"/>
      <c r="E15" s="184" t="n"/>
      <c r="F15" s="184" t="n"/>
      <c r="G15" s="184" t="n"/>
      <c r="H15" s="6" t="inlineStr">
        <is>
          <t>Classificação do invólucro</t>
        </is>
      </c>
      <c r="I15" s="208" t="n"/>
      <c r="J15" s="208" t="n"/>
      <c r="K15" s="208" t="n"/>
      <c r="L15" s="208" t="n"/>
      <c r="M15" s="209" t="n"/>
      <c r="N15" s="225" t="n"/>
      <c r="O15" s="208" t="n"/>
      <c r="P15" s="208" t="n"/>
      <c r="Q15" s="208" t="n"/>
      <c r="R15" s="208" t="n"/>
      <c r="S15" s="226" t="n"/>
    </row>
    <row r="16" ht="13.8" customHeight="1" thickBot="1">
      <c r="A16" s="220" t="inlineStr">
        <is>
          <t>INTERNOS</t>
        </is>
      </c>
      <c r="B16" s="221" t="n"/>
      <c r="C16" s="221" t="n"/>
      <c r="D16" s="221" t="n"/>
      <c r="E16" s="221" t="n"/>
      <c r="F16" s="221" t="n"/>
      <c r="G16" s="222" t="n"/>
      <c r="H16" s="220" t="inlineStr">
        <is>
          <t>FINS DE CURSO</t>
        </is>
      </c>
      <c r="I16" s="221" t="n"/>
      <c r="J16" s="221" t="n"/>
      <c r="K16" s="221" t="n"/>
      <c r="L16" s="221" t="n"/>
      <c r="M16" s="221" t="n"/>
      <c r="N16" s="221" t="n"/>
      <c r="O16" s="221" t="n"/>
      <c r="P16" s="221" t="n"/>
      <c r="Q16" s="221" t="n"/>
      <c r="R16" s="221" t="n"/>
      <c r="S16" s="222" t="n"/>
      <c r="X16" s="69" t="n"/>
      <c r="Y16" s="69" t="n"/>
      <c r="Z16" s="69" t="n"/>
    </row>
    <row r="17">
      <c r="A17" s="18" t="inlineStr">
        <is>
          <t>Material das gaxetas</t>
        </is>
      </c>
      <c r="B17" s="227" t="n"/>
      <c r="C17" s="212" t="n"/>
      <c r="D17" s="212" t="n"/>
      <c r="E17" s="212" t="n"/>
      <c r="F17" s="212" t="n"/>
      <c r="G17" s="214" t="n"/>
      <c r="H17" s="146" t="inlineStr">
        <is>
          <t>TAG</t>
        </is>
      </c>
      <c r="I17" s="181" t="n"/>
      <c r="J17" s="181" t="n"/>
      <c r="K17" s="181" t="n"/>
      <c r="L17" s="181" t="n"/>
      <c r="M17" s="202" t="n"/>
      <c r="N17" s="228" t="n"/>
      <c r="S17" s="192" t="n"/>
      <c r="X17" s="69" t="n"/>
      <c r="Z17" s="69" t="n"/>
    </row>
    <row r="18">
      <c r="A18" s="3" t="inlineStr">
        <is>
          <t>Sede</t>
        </is>
      </c>
      <c r="B18" s="229" t="n"/>
      <c r="C18" s="205" t="n"/>
      <c r="D18" s="205" t="n"/>
      <c r="E18" s="205" t="n"/>
      <c r="F18" s="205" t="n"/>
      <c r="G18" s="216" t="n"/>
      <c r="H18" s="130" t="inlineStr">
        <is>
          <t>Tipo</t>
        </is>
      </c>
      <c r="I18" s="205" t="n"/>
      <c r="J18" s="205" t="n"/>
      <c r="K18" s="205" t="n"/>
      <c r="L18" s="205" t="n"/>
      <c r="M18" s="206" t="n"/>
      <c r="N18" s="224" t="n"/>
      <c r="O18" s="184" t="n"/>
      <c r="P18" s="184" t="n"/>
      <c r="Q18" s="184" t="n"/>
      <c r="R18" s="184" t="n"/>
      <c r="S18" s="185" t="n"/>
      <c r="X18" s="69" t="n"/>
      <c r="Z18" s="69" t="n"/>
    </row>
    <row r="19">
      <c r="A19" s="5" t="inlineStr">
        <is>
          <t>Material do disco</t>
        </is>
      </c>
      <c r="B19" s="229" t="n"/>
      <c r="C19" s="205" t="n"/>
      <c r="D19" s="205" t="n"/>
      <c r="E19" s="205" t="n"/>
      <c r="F19" s="205" t="n"/>
      <c r="G19" s="216" t="n"/>
      <c r="H19" s="130" t="inlineStr">
        <is>
          <t>Quantidade</t>
        </is>
      </c>
      <c r="I19" s="205" t="n"/>
      <c r="J19" s="205" t="n"/>
      <c r="K19" s="205" t="n"/>
      <c r="L19" s="205" t="n"/>
      <c r="M19" s="206" t="n"/>
      <c r="N19" s="224" t="n"/>
      <c r="O19" s="184" t="n"/>
      <c r="P19" s="184" t="n"/>
      <c r="Q19" s="184" t="n"/>
      <c r="R19" s="184" t="n"/>
      <c r="S19" s="185" t="n"/>
      <c r="X19" s="69" t="n"/>
      <c r="Z19" s="69" t="n"/>
    </row>
    <row r="20">
      <c r="A20" s="5" t="inlineStr">
        <is>
          <t>Material da haste</t>
        </is>
      </c>
      <c r="B20" s="229" t="n"/>
      <c r="C20" s="205" t="n"/>
      <c r="D20" s="205" t="n"/>
      <c r="E20" s="205" t="n"/>
      <c r="F20" s="205" t="n"/>
      <c r="G20" s="216" t="n"/>
      <c r="H20" s="130" t="inlineStr">
        <is>
          <t>Tipo dos contatos</t>
        </is>
      </c>
      <c r="I20" s="205" t="n"/>
      <c r="J20" s="205" t="n"/>
      <c r="K20" s="205" t="n"/>
      <c r="L20" s="205" t="n"/>
      <c r="M20" s="206" t="n"/>
      <c r="N20" s="224" t="n"/>
      <c r="O20" s="184" t="n"/>
      <c r="P20" s="184" t="n"/>
      <c r="Q20" s="184" t="n"/>
      <c r="R20" s="184" t="n"/>
      <c r="S20" s="185" t="n"/>
      <c r="X20" s="69" t="n"/>
      <c r="Z20" s="69" t="n"/>
    </row>
    <row r="21">
      <c r="A21" s="3" t="inlineStr">
        <is>
          <t>Obturador balanceado</t>
        </is>
      </c>
      <c r="B21" s="229" t="n"/>
      <c r="C21" s="205" t="n"/>
      <c r="D21" s="205" t="n"/>
      <c r="E21" s="205" t="n"/>
      <c r="F21" s="205" t="n"/>
      <c r="G21" s="216" t="n"/>
      <c r="H21" s="130" t="inlineStr">
        <is>
          <t>Conexão elétrica</t>
        </is>
      </c>
      <c r="I21" s="205" t="n"/>
      <c r="J21" s="205" t="n"/>
      <c r="K21" s="205" t="n"/>
      <c r="L21" s="205" t="n"/>
      <c r="M21" s="206" t="n"/>
      <c r="N21" s="224" t="n"/>
      <c r="O21" s="184" t="n"/>
      <c r="P21" s="184" t="n"/>
      <c r="Q21" s="184" t="n"/>
      <c r="R21" s="184" t="n"/>
      <c r="S21" s="185" t="n"/>
      <c r="X21" s="69" t="n"/>
      <c r="Z21" s="69" t="n"/>
    </row>
    <row r="22">
      <c r="A22" s="3" t="inlineStr">
        <is>
          <t>Direção do fluxo</t>
        </is>
      </c>
      <c r="B22" s="229" t="n"/>
      <c r="C22" s="205" t="n"/>
      <c r="D22" s="205" t="n"/>
      <c r="E22" s="205" t="n"/>
      <c r="F22" s="205" t="n"/>
      <c r="G22" s="216" t="n"/>
      <c r="H22" s="130" t="inlineStr">
        <is>
          <t>Classificação de área</t>
        </is>
      </c>
      <c r="I22" s="205" t="n"/>
      <c r="J22" s="205" t="n"/>
      <c r="K22" s="205" t="n"/>
      <c r="L22" s="205" t="n"/>
      <c r="M22" s="206" t="n"/>
      <c r="N22" s="224" t="n"/>
      <c r="O22" s="184" t="n"/>
      <c r="P22" s="184" t="n"/>
      <c r="Q22" s="184" t="n"/>
      <c r="R22" s="184" t="n"/>
      <c r="S22" s="185" t="n"/>
      <c r="X22" s="69" t="n"/>
      <c r="Z22" s="69" t="n"/>
    </row>
    <row r="23" ht="13.8" customHeight="1" thickBot="1">
      <c r="A23" s="6" t="inlineStr">
        <is>
          <t>Guias</t>
        </is>
      </c>
      <c r="B23" s="230" t="n"/>
      <c r="C23" s="208" t="n"/>
      <c r="D23" s="208" t="n"/>
      <c r="E23" s="208" t="n"/>
      <c r="F23" s="208" t="n"/>
      <c r="G23" s="226" t="n"/>
      <c r="H23" s="147" t="inlineStr">
        <is>
          <t>Classificação do invólucro</t>
        </is>
      </c>
      <c r="I23" s="184" t="n"/>
      <c r="J23" s="184" t="n"/>
      <c r="K23" s="184" t="n"/>
      <c r="L23" s="184" t="n"/>
      <c r="M23" s="231" t="n"/>
      <c r="N23" s="224" t="n"/>
      <c r="O23" s="184" t="n"/>
      <c r="P23" s="184" t="n"/>
      <c r="Q23" s="184" t="n"/>
      <c r="R23" s="184" t="n"/>
      <c r="S23" s="185" t="n"/>
      <c r="X23" s="69" t="n"/>
      <c r="Z23" s="69" t="n"/>
    </row>
    <row r="24" ht="13.8" customHeight="1" thickBot="1">
      <c r="A24" s="220" t="inlineStr">
        <is>
          <t>ATUADOR</t>
        </is>
      </c>
      <c r="B24" s="221" t="n"/>
      <c r="C24" s="221" t="n"/>
      <c r="D24" s="221" t="n"/>
      <c r="E24" s="221" t="n"/>
      <c r="F24" s="221" t="n"/>
      <c r="G24" s="222" t="n"/>
      <c r="H24" s="220" t="inlineStr">
        <is>
          <t>DADOS DE PROCESSO</t>
        </is>
      </c>
      <c r="I24" s="221" t="n"/>
      <c r="J24" s="221" t="n"/>
      <c r="K24" s="221" t="n"/>
      <c r="L24" s="221" t="n"/>
      <c r="M24" s="221" t="n"/>
      <c r="N24" s="221" t="n"/>
      <c r="O24" s="221" t="n"/>
      <c r="P24" s="221" t="n"/>
      <c r="Q24" s="221" t="n"/>
      <c r="R24" s="221" t="n"/>
      <c r="S24" s="222" t="n"/>
    </row>
    <row r="25">
      <c r="A25" s="17" t="inlineStr">
        <is>
          <t>Tipo</t>
        </is>
      </c>
      <c r="B25" s="152" t="n"/>
      <c r="C25" s="181" t="n"/>
      <c r="D25" s="181" t="n"/>
      <c r="E25" s="181" t="n"/>
      <c r="F25" s="181" t="n"/>
      <c r="G25" s="181" t="n"/>
      <c r="H25" s="18" t="inlineStr">
        <is>
          <t>Fluido</t>
        </is>
      </c>
      <c r="I25" s="212" t="n"/>
      <c r="J25" s="212" t="n"/>
      <c r="K25" s="212" t="n"/>
      <c r="L25" s="212" t="n"/>
      <c r="M25" s="213" t="n"/>
      <c r="N25" s="232" t="inlineStr">
        <is>
          <t>(NOTA 1)</t>
        </is>
      </c>
      <c r="O25" s="173" t="n"/>
      <c r="P25" s="173" t="n"/>
      <c r="Q25" s="173" t="n"/>
      <c r="R25" s="173" t="n"/>
      <c r="S25" s="177" t="n"/>
    </row>
    <row r="26">
      <c r="A26" s="3" t="inlineStr">
        <is>
          <t>Range</t>
        </is>
      </c>
      <c r="B26" s="148" t="n"/>
      <c r="C26" s="205" t="n"/>
      <c r="D26" s="205" t="n"/>
      <c r="E26" s="205" t="n"/>
      <c r="F26" s="205" t="n"/>
      <c r="G26" s="205" t="n"/>
      <c r="H26" s="3" t="inlineStr">
        <is>
          <t>Estado físico</t>
        </is>
      </c>
      <c r="I26" s="205" t="n"/>
      <c r="J26" s="205" t="n"/>
      <c r="K26" s="205" t="n"/>
      <c r="L26" s="205" t="n"/>
      <c r="M26" s="206" t="n"/>
      <c r="N26" s="233" t="n"/>
      <c r="O26" s="184" t="n"/>
      <c r="P26" s="184" t="n"/>
      <c r="Q26" s="184" t="n"/>
      <c r="R26" s="184" t="n"/>
      <c r="S26" s="185" t="n"/>
    </row>
    <row r="27">
      <c r="A27" s="3" t="inlineStr">
        <is>
          <t>Volante</t>
        </is>
      </c>
      <c r="B27" s="148" t="n"/>
      <c r="C27" s="205" t="n"/>
      <c r="D27" s="205" t="n"/>
      <c r="E27" s="205" t="n"/>
      <c r="F27" s="205" t="n"/>
      <c r="G27" s="205" t="n"/>
      <c r="H27" s="3" t="inlineStr">
        <is>
          <t>Pressão de entrada</t>
        </is>
      </c>
      <c r="I27" s="205" t="n"/>
      <c r="J27" s="205" t="n"/>
      <c r="K27" s="205" t="n"/>
      <c r="L27" s="205" t="n"/>
      <c r="M27" s="206" t="n"/>
      <c r="N27" s="233" t="inlineStr">
        <is>
          <t>3,00</t>
        </is>
      </c>
      <c r="O27" s="184" t="n"/>
      <c r="P27" s="184" t="n"/>
      <c r="Q27" s="184" t="n"/>
      <c r="R27" s="184" t="n"/>
      <c r="S27" s="185" t="n"/>
    </row>
    <row r="28">
      <c r="A28" s="3" t="inlineStr">
        <is>
          <t>Ação em caso de falha</t>
        </is>
      </c>
      <c r="B28" s="148" t="n"/>
      <c r="C28" s="205" t="n"/>
      <c r="D28" s="205" t="n"/>
      <c r="E28" s="205" t="n"/>
      <c r="F28" s="205" t="n"/>
      <c r="G28" s="205" t="n"/>
      <c r="H28" s="3" t="inlineStr">
        <is>
          <t>Pressão de saída</t>
        </is>
      </c>
      <c r="I28" s="205" t="n"/>
      <c r="J28" s="205" t="n"/>
      <c r="K28" s="205" t="n"/>
      <c r="L28" s="205" t="n"/>
      <c r="M28" s="206" t="n"/>
      <c r="N28" s="233" t="n"/>
      <c r="O28" s="184" t="n"/>
      <c r="P28" s="184" t="n"/>
      <c r="Q28" s="184" t="n"/>
      <c r="R28" s="184" t="n"/>
      <c r="S28" s="185" t="n"/>
    </row>
    <row r="29" ht="13.8" customHeight="1" thickBot="1">
      <c r="A29" s="16" t="inlineStr">
        <is>
          <t>Pressão suprimento de ar (min/max)</t>
        </is>
      </c>
      <c r="B29" s="150" t="n"/>
      <c r="C29" s="184" t="n"/>
      <c r="D29" s="184" t="n"/>
      <c r="E29" s="184" t="n"/>
      <c r="F29" s="184" t="n"/>
      <c r="G29" s="184" t="n"/>
      <c r="H29" s="3" t="inlineStr">
        <is>
          <t>Viscosidade</t>
        </is>
      </c>
      <c r="I29" s="205" t="n"/>
      <c r="J29" s="205" t="n"/>
      <c r="K29" s="205" t="n"/>
      <c r="L29" s="205" t="n"/>
      <c r="M29" s="206" t="n"/>
      <c r="N29" s="233" t="inlineStr">
        <is>
          <t>&lt;50 cP</t>
        </is>
      </c>
      <c r="O29" s="184" t="n"/>
      <c r="P29" s="184" t="n"/>
      <c r="Q29" s="184" t="n"/>
      <c r="R29" s="184" t="n"/>
      <c r="S29" s="185" t="n"/>
    </row>
    <row r="30" ht="13.8" customHeight="1" thickBot="1">
      <c r="A30" s="142" t="inlineStr">
        <is>
          <t>POSICIONADOR</t>
        </is>
      </c>
      <c r="B30" s="221" t="n"/>
      <c r="C30" s="221" t="n"/>
      <c r="D30" s="221" t="n"/>
      <c r="E30" s="221" t="n"/>
      <c r="F30" s="221" t="n"/>
      <c r="G30" s="221" t="n"/>
      <c r="H30" s="3" t="inlineStr">
        <is>
          <t>Vazão normal</t>
        </is>
      </c>
      <c r="I30" s="205" t="n"/>
      <c r="J30" s="205" t="n"/>
      <c r="K30" s="205" t="n"/>
      <c r="L30" s="205" t="n"/>
      <c r="M30" s="206" t="n"/>
      <c r="N30" s="233" t="n"/>
      <c r="O30" s="184" t="n"/>
      <c r="P30" s="184" t="n"/>
      <c r="Q30" s="184" t="n"/>
      <c r="R30" s="184" t="n"/>
      <c r="S30" s="185" t="n"/>
    </row>
    <row r="31">
      <c r="A31" s="17" t="inlineStr">
        <is>
          <t>Tipo</t>
        </is>
      </c>
      <c r="B31" s="152" t="n"/>
      <c r="C31" s="181" t="n"/>
      <c r="D31" s="181" t="n"/>
      <c r="E31" s="181" t="n"/>
      <c r="F31" s="181" t="n"/>
      <c r="G31" s="181" t="n"/>
      <c r="H31" s="3" t="inlineStr">
        <is>
          <t>Vazão máxima</t>
        </is>
      </c>
      <c r="I31" s="205" t="n"/>
      <c r="J31" s="205" t="n"/>
      <c r="K31" s="205" t="n"/>
      <c r="L31" s="205" t="n"/>
      <c r="M31" s="206" t="n"/>
      <c r="N31" s="233" t="inlineStr">
        <is>
          <t>30.0</t>
        </is>
      </c>
      <c r="O31" s="184" t="n"/>
      <c r="P31" s="184" t="n"/>
      <c r="Q31" s="184" t="n"/>
      <c r="R31" s="184" t="n"/>
      <c r="S31" s="185" t="n"/>
    </row>
    <row r="32">
      <c r="A32" s="3" t="inlineStr">
        <is>
          <t>By-pass</t>
        </is>
      </c>
      <c r="B32" s="148" t="n"/>
      <c r="C32" s="205" t="n"/>
      <c r="D32" s="205" t="n"/>
      <c r="E32" s="205" t="n"/>
      <c r="F32" s="205" t="n"/>
      <c r="G32" s="205" t="n"/>
      <c r="H32" s="3" t="inlineStr">
        <is>
          <t>Vazão mínima</t>
        </is>
      </c>
      <c r="I32" s="205" t="n"/>
      <c r="J32" s="205" t="n"/>
      <c r="K32" s="205" t="n"/>
      <c r="L32" s="205" t="n"/>
      <c r="M32" s="206" t="n"/>
      <c r="N32" s="233" t="inlineStr">
        <is>
          <t>15.0</t>
        </is>
      </c>
      <c r="O32" s="184" t="n"/>
      <c r="P32" s="184" t="n"/>
      <c r="Q32" s="184" t="n"/>
      <c r="R32" s="184" t="n"/>
      <c r="S32" s="185" t="n"/>
    </row>
    <row r="33">
      <c r="A33" s="3" t="inlineStr">
        <is>
          <t>Manômetros quantidade</t>
        </is>
      </c>
      <c r="B33" s="148" t="n"/>
      <c r="C33" s="205" t="n"/>
      <c r="D33" s="205" t="n"/>
      <c r="E33" s="205" t="n"/>
      <c r="F33" s="205" t="n"/>
      <c r="G33" s="205" t="n"/>
      <c r="H33" s="3" t="inlineStr">
        <is>
          <t>Pressão shut off</t>
        </is>
      </c>
      <c r="I33" s="205" t="n"/>
      <c r="J33" s="205" t="n"/>
      <c r="K33" s="205" t="n"/>
      <c r="L33" s="205" t="n"/>
      <c r="M33" s="206" t="n"/>
      <c r="N33" s="233" t="n"/>
      <c r="O33" s="184" t="n"/>
      <c r="P33" s="184" t="n"/>
      <c r="Q33" s="184" t="n"/>
      <c r="R33" s="184" t="n"/>
      <c r="S33" s="185" t="n"/>
    </row>
    <row r="34">
      <c r="A34" s="3" t="inlineStr">
        <is>
          <t>Sinal de entrada</t>
        </is>
      </c>
      <c r="B34" s="148" t="n"/>
      <c r="C34" s="205" t="n"/>
      <c r="D34" s="205" t="n"/>
      <c r="E34" s="205" t="n"/>
      <c r="F34" s="205" t="n"/>
      <c r="G34" s="205" t="n"/>
      <c r="H34" s="3" t="inlineStr">
        <is>
          <t>Temperatura máxima</t>
        </is>
      </c>
      <c r="I34" s="205" t="n"/>
      <c r="J34" s="205" t="n"/>
      <c r="K34" s="205" t="n"/>
      <c r="L34" s="205" t="n"/>
      <c r="M34" s="206" t="n"/>
      <c r="N34" s="233" t="inlineStr">
        <is>
          <t>35</t>
        </is>
      </c>
      <c r="O34" s="184" t="n"/>
      <c r="P34" s="184" t="n"/>
      <c r="Q34" s="184" t="n"/>
      <c r="R34" s="184" t="n"/>
      <c r="S34" s="185" t="n"/>
    </row>
    <row r="35">
      <c r="A35" s="3" t="inlineStr">
        <is>
          <t>Sial de saída</t>
        </is>
      </c>
      <c r="B35" s="148" t="n"/>
      <c r="C35" s="205" t="n"/>
      <c r="D35" s="205" t="n"/>
      <c r="E35" s="205" t="n"/>
      <c r="F35" s="205" t="n"/>
      <c r="G35" s="205" t="n"/>
      <c r="H35" s="3" t="inlineStr">
        <is>
          <t>Temperatura normal</t>
        </is>
      </c>
      <c r="I35" s="205" t="n"/>
      <c r="J35" s="205" t="n"/>
      <c r="K35" s="205" t="n"/>
      <c r="L35" s="205" t="n"/>
      <c r="M35" s="206" t="n"/>
      <c r="N35" s="233" t="n"/>
      <c r="O35" s="184" t="n"/>
      <c r="P35" s="184" t="n"/>
      <c r="Q35" s="184" t="n"/>
      <c r="R35" s="184" t="n"/>
      <c r="S35" s="185" t="n"/>
    </row>
    <row r="36">
      <c r="A36" s="3" t="inlineStr">
        <is>
          <t>Característica do came</t>
        </is>
      </c>
      <c r="B36" s="148" t="n"/>
      <c r="C36" s="205" t="n"/>
      <c r="D36" s="205" t="n"/>
      <c r="E36" s="205" t="n"/>
      <c r="F36" s="205" t="n"/>
      <c r="G36" s="205" t="n"/>
      <c r="H36" s="3" t="inlineStr">
        <is>
          <t>Massa específica</t>
        </is>
      </c>
      <c r="I36" s="205" t="n"/>
      <c r="J36" s="205" t="n"/>
      <c r="K36" s="205" t="n"/>
      <c r="L36" s="205" t="n"/>
      <c r="M36" s="206" t="n"/>
      <c r="N36" s="233" t="inlineStr">
        <is>
          <t>1120 kg/m³</t>
        </is>
      </c>
      <c r="O36" s="184" t="n"/>
      <c r="P36" s="184" t="n"/>
      <c r="Q36" s="184" t="n"/>
      <c r="R36" s="184" t="n"/>
      <c r="S36" s="185" t="n"/>
    </row>
    <row r="37" ht="13.8" customHeight="1" thickBot="1">
      <c r="A37" s="16" t="inlineStr">
        <is>
          <t>Alimentação de ar</t>
        </is>
      </c>
      <c r="B37" s="150" t="n"/>
      <c r="C37" s="184" t="n"/>
      <c r="D37" s="184" t="n"/>
      <c r="E37" s="184" t="n"/>
      <c r="F37" s="184" t="n"/>
      <c r="G37" s="184" t="n"/>
      <c r="H37" s="3" t="inlineStr">
        <is>
          <t>Cv calculado (máximo) / % abertura</t>
        </is>
      </c>
      <c r="I37" s="205" t="n"/>
      <c r="J37" s="205" t="n"/>
      <c r="K37" s="205" t="n"/>
      <c r="L37" s="205" t="n"/>
      <c r="M37" s="206" t="n"/>
      <c r="N37" s="224" t="n"/>
      <c r="O37" s="184" t="n"/>
      <c r="P37" s="184" t="n"/>
      <c r="Q37" s="184" t="n"/>
      <c r="R37" s="184" t="n"/>
      <c r="S37" s="185" t="n"/>
    </row>
    <row r="38" ht="13.8" customHeight="1" thickBot="1">
      <c r="A38" s="142" t="inlineStr">
        <is>
          <t>ACESSÓRIOS</t>
        </is>
      </c>
      <c r="B38" s="221" t="n"/>
      <c r="C38" s="221" t="n"/>
      <c r="D38" s="221" t="n"/>
      <c r="E38" s="221" t="n"/>
      <c r="F38" s="221" t="n"/>
      <c r="G38" s="221" t="n"/>
      <c r="H38" s="3" t="inlineStr">
        <is>
          <t>Cv calculado (normal) / % abertura</t>
        </is>
      </c>
      <c r="I38" s="205" t="n"/>
      <c r="J38" s="205" t="n"/>
      <c r="K38" s="205" t="n"/>
      <c r="L38" s="205" t="n"/>
      <c r="M38" s="206" t="n"/>
      <c r="N38" s="224" t="n"/>
      <c r="O38" s="184" t="n"/>
      <c r="P38" s="184" t="n"/>
      <c r="Q38" s="184" t="n"/>
      <c r="R38" s="184" t="n"/>
      <c r="S38" s="185" t="n"/>
    </row>
    <row r="39">
      <c r="A39" s="17" t="inlineStr">
        <is>
          <t>Filtro / Filtro regulador</t>
        </is>
      </c>
      <c r="B39" s="152" t="n"/>
      <c r="C39" s="181" t="n"/>
      <c r="D39" s="181" t="n"/>
      <c r="E39" s="181" t="n"/>
      <c r="F39" s="181" t="n"/>
      <c r="G39" s="181" t="n"/>
      <c r="H39" s="3" t="inlineStr">
        <is>
          <t>Cv calculado (mínimo) / % abertura</t>
        </is>
      </c>
      <c r="I39" s="205" t="n"/>
      <c r="J39" s="205" t="n"/>
      <c r="K39" s="205" t="n"/>
      <c r="L39" s="205" t="n"/>
      <c r="M39" s="206" t="n"/>
      <c r="N39" s="224" t="n"/>
      <c r="O39" s="184" t="n"/>
      <c r="P39" s="184" t="n"/>
      <c r="Q39" s="184" t="n"/>
      <c r="R39" s="184" t="n"/>
      <c r="S39" s="185" t="n"/>
    </row>
    <row r="40">
      <c r="A40" s="3" t="inlineStr">
        <is>
          <t>Manômetro para o regulador</t>
        </is>
      </c>
      <c r="B40" s="148" t="n"/>
      <c r="C40" s="205" t="n"/>
      <c r="D40" s="205" t="n"/>
      <c r="E40" s="205" t="n"/>
      <c r="F40" s="205" t="n"/>
      <c r="G40" s="205" t="n"/>
      <c r="H40" s="3" t="inlineStr">
        <is>
          <t>Cv selecionado</t>
        </is>
      </c>
      <c r="I40" s="205" t="n"/>
      <c r="J40" s="205" t="n"/>
      <c r="K40" s="205" t="n"/>
      <c r="L40" s="205" t="n"/>
      <c r="M40" s="206" t="n"/>
      <c r="N40" s="224" t="n"/>
      <c r="O40" s="184" t="n"/>
      <c r="P40" s="184" t="n"/>
      <c r="Q40" s="184" t="n"/>
      <c r="R40" s="184" t="n"/>
      <c r="S40" s="185" t="n"/>
    </row>
    <row r="41" ht="13.8" customHeight="1" thickBot="1">
      <c r="A41" s="6" t="inlineStr">
        <is>
          <t>Posição do volante</t>
        </is>
      </c>
      <c r="B41" s="154" t="n"/>
      <c r="C41" s="208" t="n"/>
      <c r="D41" s="208" t="n"/>
      <c r="E41" s="208" t="n"/>
      <c r="F41" s="208" t="n"/>
      <c r="G41" s="208" t="n"/>
      <c r="H41" s="6" t="inlineStr">
        <is>
          <t>Nível de ruído</t>
        </is>
      </c>
      <c r="I41" s="208" t="n"/>
      <c r="J41" s="208" t="n"/>
      <c r="K41" s="208" t="n"/>
      <c r="L41" s="208" t="n"/>
      <c r="M41" s="209" t="n"/>
      <c r="N41" s="225" t="n"/>
      <c r="O41" s="208" t="n"/>
      <c r="P41" s="208" t="n"/>
      <c r="Q41" s="208" t="n"/>
      <c r="R41" s="208" t="n"/>
      <c r="S41" s="226" t="n"/>
    </row>
    <row r="42">
      <c r="A42" s="234" t="inlineStr">
        <is>
          <t>Notas:</t>
        </is>
      </c>
      <c r="B42" s="173" t="n"/>
      <c r="C42" s="173" t="n"/>
      <c r="D42" s="173" t="n"/>
      <c r="E42" s="173" t="n"/>
      <c r="F42" s="173" t="n"/>
      <c r="G42" s="173" t="n"/>
      <c r="H42" s="173" t="n"/>
      <c r="I42" s="173" t="n"/>
      <c r="J42" s="173" t="n"/>
      <c r="K42" s="173" t="n"/>
      <c r="L42" s="173" t="n"/>
      <c r="M42" s="173" t="n"/>
      <c r="N42" s="173" t="n"/>
      <c r="O42" s="173" t="n"/>
      <c r="P42" s="173" t="n"/>
      <c r="Q42" s="173" t="n"/>
      <c r="R42" s="173" t="n"/>
      <c r="S42" s="177" t="n"/>
    </row>
    <row r="43" ht="13.8" customHeight="1" thickBot="1">
      <c r="A43" s="235" t="inlineStr">
        <is>
          <t>(NOTA 1): CRESTIVO (A16003E); BIRK 25% (A25191A); BIRTEA; CRESTIVO DUO</t>
        </is>
      </c>
      <c r="B43" s="197" t="n"/>
      <c r="C43" s="197" t="n"/>
      <c r="D43" s="197" t="n"/>
      <c r="E43" s="197" t="n"/>
      <c r="F43" s="197" t="n"/>
      <c r="G43" s="197" t="n"/>
      <c r="H43" s="197" t="n"/>
      <c r="I43" s="197" t="n"/>
      <c r="J43" s="197" t="n"/>
      <c r="K43" s="197" t="n"/>
      <c r="L43" s="197" t="n"/>
      <c r="M43" s="197" t="n"/>
      <c r="N43" s="197" t="n"/>
      <c r="O43" s="197" t="n"/>
      <c r="P43" s="197" t="n"/>
      <c r="Q43" s="197" t="n"/>
      <c r="R43" s="197" t="n"/>
      <c r="S43" s="199" t="n"/>
    </row>
    <row r="44">
      <c r="A44" s="7" t="n"/>
    </row>
    <row r="45">
      <c r="A45" s="2" t="n"/>
    </row>
    <row r="46">
      <c r="A46" s="2" t="n"/>
    </row>
    <row r="47">
      <c r="A47" s="2" t="n"/>
    </row>
    <row r="48">
      <c r="A48" s="2" t="n"/>
    </row>
    <row r="49">
      <c r="A49" s="2" t="n"/>
    </row>
    <row r="50">
      <c r="A50" s="2" t="n"/>
    </row>
    <row r="51">
      <c r="A51" s="2" t="n"/>
    </row>
    <row r="52">
      <c r="A52" s="2" t="n"/>
    </row>
    <row r="53">
      <c r="A53" s="2" t="n"/>
    </row>
    <row r="54">
      <c r="A54" s="2" t="n"/>
    </row>
  </sheetData>
  <mergeCells count="116">
    <mergeCell ref="H21:M21"/>
    <mergeCell ref="N23:S23"/>
    <mergeCell ref="B8:G8"/>
    <mergeCell ref="N18:S18"/>
    <mergeCell ref="A1:A4"/>
    <mergeCell ref="N8:S8"/>
    <mergeCell ref="H7:M7"/>
    <mergeCell ref="B10:G10"/>
    <mergeCell ref="N10:S10"/>
    <mergeCell ref="A30:G30"/>
    <mergeCell ref="H27:M27"/>
    <mergeCell ref="N34:S34"/>
    <mergeCell ref="H33:M33"/>
    <mergeCell ref="B36:G36"/>
    <mergeCell ref="N27:S27"/>
    <mergeCell ref="H5:S5"/>
    <mergeCell ref="N36:S36"/>
    <mergeCell ref="H35:M35"/>
    <mergeCell ref="N11:S11"/>
    <mergeCell ref="N20:S20"/>
    <mergeCell ref="B22:G22"/>
    <mergeCell ref="B31:G31"/>
    <mergeCell ref="N22:S22"/>
    <mergeCell ref="H9:M9"/>
    <mergeCell ref="B12:G12"/>
    <mergeCell ref="H39:M39"/>
    <mergeCell ref="B21:G21"/>
    <mergeCell ref="B39:G39"/>
    <mergeCell ref="N12:S12"/>
    <mergeCell ref="N21:S21"/>
    <mergeCell ref="B14:G14"/>
    <mergeCell ref="B23:G23"/>
    <mergeCell ref="N14:S14"/>
    <mergeCell ref="B13:G13"/>
    <mergeCell ref="A43:S43"/>
    <mergeCell ref="N38:S38"/>
    <mergeCell ref="H16:S16"/>
    <mergeCell ref="H32:M32"/>
    <mergeCell ref="H13:M13"/>
    <mergeCell ref="N40:S40"/>
    <mergeCell ref="B33:G33"/>
    <mergeCell ref="H15:M15"/>
    <mergeCell ref="H18:M18"/>
    <mergeCell ref="B41:G41"/>
    <mergeCell ref="B35:G35"/>
    <mergeCell ref="C2:S2"/>
    <mergeCell ref="H8:M8"/>
    <mergeCell ref="N26:S26"/>
    <mergeCell ref="N35:S35"/>
    <mergeCell ref="H26:M26"/>
    <mergeCell ref="B25:G25"/>
    <mergeCell ref="N25:S25"/>
    <mergeCell ref="H10:M10"/>
    <mergeCell ref="H41:M41"/>
    <mergeCell ref="B27:G27"/>
    <mergeCell ref="H34:M34"/>
    <mergeCell ref="H25:M25"/>
    <mergeCell ref="B11:G11"/>
    <mergeCell ref="A5:G5"/>
    <mergeCell ref="A42:S42"/>
    <mergeCell ref="H36:M36"/>
    <mergeCell ref="A38:G38"/>
    <mergeCell ref="H17:M17"/>
    <mergeCell ref="N39:S39"/>
    <mergeCell ref="H11:M11"/>
    <mergeCell ref="B29:G29"/>
    <mergeCell ref="N29:S29"/>
    <mergeCell ref="H19:M19"/>
    <mergeCell ref="H28:M28"/>
    <mergeCell ref="H37:M37"/>
    <mergeCell ref="A24:G24"/>
    <mergeCell ref="N13:S13"/>
    <mergeCell ref="B40:G40"/>
    <mergeCell ref="H12:M12"/>
    <mergeCell ref="N31:S31"/>
    <mergeCell ref="B15:G15"/>
    <mergeCell ref="J1:S1"/>
    <mergeCell ref="N6:S6"/>
    <mergeCell ref="N15:S15"/>
    <mergeCell ref="H24:S24"/>
    <mergeCell ref="H14:M14"/>
    <mergeCell ref="B32:G32"/>
    <mergeCell ref="H23:M23"/>
    <mergeCell ref="A16:G16"/>
    <mergeCell ref="B26:G26"/>
    <mergeCell ref="Y16:Y23"/>
    <mergeCell ref="B7:G7"/>
    <mergeCell ref="H38:M38"/>
    <mergeCell ref="N32:S32"/>
    <mergeCell ref="N7:S7"/>
    <mergeCell ref="N41:S41"/>
    <mergeCell ref="H40:M40"/>
    <mergeCell ref="B18:G18"/>
    <mergeCell ref="N33:S33"/>
    <mergeCell ref="B17:G17"/>
    <mergeCell ref="N17:S17"/>
    <mergeCell ref="B19:G19"/>
    <mergeCell ref="B34:G34"/>
    <mergeCell ref="B28:G28"/>
    <mergeCell ref="B37:G37"/>
    <mergeCell ref="N19:S19"/>
    <mergeCell ref="H22:M22"/>
    <mergeCell ref="B9:G9"/>
    <mergeCell ref="N28:S28"/>
    <mergeCell ref="N9:S9"/>
    <mergeCell ref="B6:G6"/>
    <mergeCell ref="B20:G20"/>
    <mergeCell ref="N30:S30"/>
    <mergeCell ref="B3:S4"/>
    <mergeCell ref="H30:M30"/>
    <mergeCell ref="H20:M20"/>
    <mergeCell ref="H29:M29"/>
    <mergeCell ref="B1:H1"/>
    <mergeCell ref="N37:S37"/>
    <mergeCell ref="H31:M31"/>
    <mergeCell ref="H6:M6"/>
  </mergeCells>
  <pageMargins left="0.25" right="0.25" top="0.75" bottom="0.75" header="0.3" footer="0.3"/>
  <pageSetup orientation="portrait" paperSize="9" scale="82"/>
</worksheet>
</file>

<file path=xl/worksheets/sheet18.xml><?xml version="1.0" encoding="utf-8"?>
<worksheet xmlns="http://schemas.openxmlformats.org/spreadsheetml/2006/main">
  <sheetPr codeName="Planilha2">
    <outlinePr summaryBelow="1" summaryRight="1"/>
    <pageSetUpPr fitToPage="1"/>
  </sheetPr>
  <dimension ref="A1:Z54"/>
  <sheetViews>
    <sheetView workbookViewId="0">
      <selection activeCell="A1" sqref="A1"/>
    </sheetView>
  </sheetViews>
  <sheetFormatPr baseColWidth="8" defaultRowHeight="13.2"/>
  <cols>
    <col width="35.109375" bestFit="1" customWidth="1" style="137" min="1" max="1"/>
    <col width="4.88671875" customWidth="1" style="137" min="2" max="19"/>
  </cols>
  <sheetData>
    <row r="1" ht="14.25" customHeight="1">
      <c r="A1" s="210">
        <f>_xlfn.IMAGE("https://technikgrupo.sharepoint.com/sites/transfer/Logos/Technik.png")</f>
        <v/>
      </c>
      <c r="B1" s="211" t="inlineStr">
        <is>
          <t>FOLHA DE DADOS</t>
        </is>
      </c>
      <c r="C1" s="212" t="n"/>
      <c r="D1" s="212" t="n"/>
      <c r="E1" s="212" t="n"/>
      <c r="F1" s="212" t="n"/>
      <c r="G1" s="212" t="n"/>
      <c r="H1" s="213" t="n"/>
      <c r="I1" s="19" t="inlineStr">
        <is>
          <t>Nº.:</t>
        </is>
      </c>
      <c r="J1" s="166">
        <f>"FD-"&amp;Config!D2&amp;"-"&amp;Config!F2&amp;"-001"</f>
        <v/>
      </c>
      <c r="K1" s="212" t="n"/>
      <c r="L1" s="212" t="n"/>
      <c r="M1" s="212" t="n"/>
      <c r="N1" s="212" t="n"/>
      <c r="O1" s="212" t="n"/>
      <c r="P1" s="212" t="n"/>
      <c r="Q1" s="212" t="n"/>
      <c r="R1" s="212" t="n"/>
      <c r="S1" s="214" t="n"/>
    </row>
    <row r="2" ht="14.25" customHeight="1">
      <c r="A2" s="215" t="n"/>
      <c r="B2" s="20" t="inlineStr">
        <is>
          <t>ÁREA:</t>
        </is>
      </c>
      <c r="C2" s="164" t="inlineStr">
        <is>
          <t>PÁTIO D3</t>
        </is>
      </c>
      <c r="D2" s="205" t="n"/>
      <c r="E2" s="205" t="n"/>
      <c r="F2" s="205" t="n"/>
      <c r="G2" s="205" t="n"/>
      <c r="H2" s="205" t="n"/>
      <c r="I2" s="205" t="n"/>
      <c r="J2" s="205" t="n"/>
      <c r="K2" s="205" t="n"/>
      <c r="L2" s="205" t="n"/>
      <c r="M2" s="205" t="n"/>
      <c r="N2" s="205" t="n"/>
      <c r="O2" s="205" t="n"/>
      <c r="P2" s="205" t="n"/>
      <c r="Q2" s="205" t="n"/>
      <c r="R2" s="205" t="n"/>
      <c r="S2" s="216" t="n"/>
    </row>
    <row r="3" ht="14.25" customHeight="1">
      <c r="A3" s="215" t="n"/>
      <c r="B3" s="217" t="inlineStr">
        <is>
          <t>VÁLVULA ON OFF</t>
        </is>
      </c>
      <c r="C3" s="184" t="n"/>
      <c r="D3" s="184" t="n"/>
      <c r="E3" s="184" t="n"/>
      <c r="F3" s="184" t="n"/>
      <c r="G3" s="184" t="n"/>
      <c r="H3" s="184" t="n"/>
      <c r="I3" s="184" t="n"/>
      <c r="J3" s="184" t="n"/>
      <c r="K3" s="184" t="n"/>
      <c r="L3" s="184" t="n"/>
      <c r="M3" s="184" t="n"/>
      <c r="N3" s="184" t="n"/>
      <c r="O3" s="184" t="n"/>
      <c r="P3" s="184" t="n"/>
      <c r="Q3" s="184" t="n"/>
      <c r="R3" s="184" t="n"/>
      <c r="S3" s="185" t="n"/>
    </row>
    <row r="4" ht="14.25" customHeight="1" thickBot="1">
      <c r="A4" s="218" t="n"/>
      <c r="B4" s="219" t="n"/>
      <c r="C4" s="197" t="n"/>
      <c r="D4" s="197" t="n"/>
      <c r="E4" s="197" t="n"/>
      <c r="F4" s="197" t="n"/>
      <c r="G4" s="197" t="n"/>
      <c r="H4" s="197" t="n"/>
      <c r="I4" s="197" t="n"/>
      <c r="J4" s="197" t="n"/>
      <c r="K4" s="197" t="n"/>
      <c r="L4" s="197" t="n"/>
      <c r="M4" s="197" t="n"/>
      <c r="N4" s="197" t="n"/>
      <c r="O4" s="197" t="n"/>
      <c r="P4" s="197" t="n"/>
      <c r="Q4" s="197" t="n"/>
      <c r="R4" s="197" t="n"/>
      <c r="S4" s="199" t="n"/>
    </row>
    <row r="5" ht="13.8" customHeight="1" thickBot="1">
      <c r="A5" s="220" t="inlineStr">
        <is>
          <t>GERAL</t>
        </is>
      </c>
      <c r="B5" s="221" t="n"/>
      <c r="C5" s="221" t="n"/>
      <c r="D5" s="221" t="n"/>
      <c r="E5" s="221" t="n"/>
      <c r="F5" s="221" t="n"/>
      <c r="G5" s="222" t="n"/>
      <c r="H5" s="220" t="inlineStr">
        <is>
          <t>VÁLVULA SOLENÓIDE</t>
        </is>
      </c>
      <c r="I5" s="221" t="n"/>
      <c r="J5" s="221" t="n"/>
      <c r="K5" s="221" t="n"/>
      <c r="L5" s="221" t="n"/>
      <c r="M5" s="221" t="n"/>
      <c r="N5" s="221" t="n"/>
      <c r="O5" s="221" t="n"/>
      <c r="P5" s="221" t="n"/>
      <c r="Q5" s="221" t="n"/>
      <c r="R5" s="221" t="n"/>
      <c r="S5" s="222" t="n"/>
    </row>
    <row r="6">
      <c r="A6" s="17" t="inlineStr">
        <is>
          <t>TAG / Quantidade</t>
        </is>
      </c>
      <c r="B6" s="167" t="inlineStr">
        <is>
          <t>XV-1715.6</t>
        </is>
      </c>
      <c r="C6" s="181" t="n"/>
      <c r="D6" s="181" t="n"/>
      <c r="E6" s="181" t="n"/>
      <c r="F6" s="181" t="n"/>
      <c r="G6" s="181" t="n"/>
      <c r="H6" s="18" t="inlineStr">
        <is>
          <t>TAG</t>
        </is>
      </c>
      <c r="I6" s="212" t="n"/>
      <c r="J6" s="212" t="n"/>
      <c r="K6" s="212" t="n"/>
      <c r="L6" s="212" t="n"/>
      <c r="M6" s="213" t="n"/>
      <c r="N6" s="223" t="n"/>
      <c r="O6" s="173" t="n"/>
      <c r="P6" s="173" t="n"/>
      <c r="Q6" s="173" t="n"/>
      <c r="R6" s="173" t="n"/>
      <c r="S6" s="177" t="n"/>
    </row>
    <row r="7">
      <c r="A7" s="3" t="inlineStr">
        <is>
          <t>Função</t>
        </is>
      </c>
      <c r="B7" s="158" t="n"/>
      <c r="C7" s="205" t="n"/>
      <c r="D7" s="205" t="n"/>
      <c r="E7" s="205" t="n"/>
      <c r="F7" s="205" t="n"/>
      <c r="G7" s="205" t="n"/>
      <c r="H7" s="3" t="inlineStr">
        <is>
          <t>Tipo</t>
        </is>
      </c>
      <c r="I7" s="205" t="n"/>
      <c r="J7" s="205" t="n"/>
      <c r="K7" s="205" t="n"/>
      <c r="L7" s="205" t="n"/>
      <c r="M7" s="206" t="n"/>
      <c r="N7" s="224" t="n"/>
      <c r="O7" s="184" t="n"/>
      <c r="P7" s="184" t="n"/>
      <c r="Q7" s="184" t="n"/>
      <c r="R7" s="184" t="n"/>
      <c r="S7" s="185" t="n"/>
    </row>
    <row r="8">
      <c r="A8" s="4" t="inlineStr">
        <is>
          <t>Fluxograma</t>
        </is>
      </c>
      <c r="B8" s="158" t="inlineStr">
        <is>
          <t>PHS2-PR27-1701-FL.01 Rev. 74I</t>
        </is>
      </c>
      <c r="C8" s="205" t="n"/>
      <c r="D8" s="205" t="n"/>
      <c r="E8" s="205" t="n"/>
      <c r="F8" s="205" t="n"/>
      <c r="G8" s="205" t="n"/>
      <c r="H8" s="3" t="inlineStr">
        <is>
          <t>Número de vias/posições</t>
        </is>
      </c>
      <c r="I8" s="205" t="n"/>
      <c r="J8" s="205" t="n"/>
      <c r="K8" s="205" t="n"/>
      <c r="L8" s="205" t="n"/>
      <c r="M8" s="206" t="n"/>
      <c r="N8" s="224" t="n"/>
      <c r="O8" s="184" t="n"/>
      <c r="P8" s="184" t="n"/>
      <c r="Q8" s="184" t="n"/>
      <c r="R8" s="184" t="n"/>
      <c r="S8" s="185" t="n"/>
    </row>
    <row r="9">
      <c r="A9" s="3" t="inlineStr">
        <is>
          <t>Bitola da linha</t>
        </is>
      </c>
      <c r="B9" s="158" t="n"/>
      <c r="C9" s="205" t="n"/>
      <c r="D9" s="205" t="n"/>
      <c r="E9" s="205" t="n"/>
      <c r="F9" s="205" t="n"/>
      <c r="G9" s="205" t="n"/>
      <c r="H9" s="3" t="inlineStr">
        <is>
          <t>Material do corpo</t>
        </is>
      </c>
      <c r="I9" s="205" t="n"/>
      <c r="J9" s="205" t="n"/>
      <c r="K9" s="205" t="n"/>
      <c r="L9" s="205" t="n"/>
      <c r="M9" s="206" t="n"/>
      <c r="N9" s="224" t="n"/>
      <c r="O9" s="184" t="n"/>
      <c r="P9" s="184" t="n"/>
      <c r="Q9" s="184" t="n"/>
      <c r="R9" s="184" t="n"/>
      <c r="S9" s="185" t="n"/>
    </row>
    <row r="10">
      <c r="A10" s="3" t="inlineStr">
        <is>
          <t>Tipo do corpo</t>
        </is>
      </c>
      <c r="B10" s="158" t="inlineStr">
        <is>
          <t>ESFERA AUTOMÁTICA</t>
        </is>
      </c>
      <c r="C10" s="205" t="n"/>
      <c r="D10" s="205" t="n"/>
      <c r="E10" s="205" t="n"/>
      <c r="F10" s="205" t="n"/>
      <c r="G10" s="205" t="n"/>
      <c r="H10" s="3" t="inlineStr">
        <is>
          <t>Classe da bobina</t>
        </is>
      </c>
      <c r="I10" s="205" t="n"/>
      <c r="J10" s="205" t="n"/>
      <c r="K10" s="205" t="n"/>
      <c r="L10" s="205" t="n"/>
      <c r="M10" s="206" t="n"/>
      <c r="N10" s="224" t="n"/>
      <c r="O10" s="184" t="n"/>
      <c r="P10" s="184" t="n"/>
      <c r="Q10" s="184" t="n"/>
      <c r="R10" s="184" t="n"/>
      <c r="S10" s="185" t="n"/>
    </row>
    <row r="11">
      <c r="A11" s="3" t="inlineStr">
        <is>
          <t>Material do corpo</t>
        </is>
      </c>
      <c r="B11" s="158" t="n"/>
      <c r="C11" s="205" t="n"/>
      <c r="D11" s="205" t="n"/>
      <c r="E11" s="205" t="n"/>
      <c r="F11" s="205" t="n"/>
      <c r="G11" s="205" t="n"/>
      <c r="H11" s="3" t="inlineStr">
        <is>
          <t>Número de bobinas</t>
        </is>
      </c>
      <c r="I11" s="205" t="n"/>
      <c r="J11" s="205" t="n"/>
      <c r="K11" s="205" t="n"/>
      <c r="L11" s="205" t="n"/>
      <c r="M11" s="206" t="n"/>
      <c r="N11" s="224" t="n"/>
      <c r="O11" s="184" t="n"/>
      <c r="P11" s="184" t="n"/>
      <c r="Q11" s="184" t="n"/>
      <c r="R11" s="184" t="n"/>
      <c r="S11" s="185" t="n"/>
    </row>
    <row r="12">
      <c r="A12" s="3" t="inlineStr">
        <is>
          <t>Diâmetro da válvula</t>
        </is>
      </c>
      <c r="B12" s="158" t="inlineStr">
        <is>
          <t>-</t>
        </is>
      </c>
      <c r="C12" s="205" t="n"/>
      <c r="D12" s="205" t="n"/>
      <c r="E12" s="205" t="n"/>
      <c r="F12" s="205" t="n"/>
      <c r="G12" s="205" t="n"/>
      <c r="H12" s="3" t="inlineStr">
        <is>
          <t>Conexão elétrica</t>
        </is>
      </c>
      <c r="I12" s="205" t="n"/>
      <c r="J12" s="205" t="n"/>
      <c r="K12" s="205" t="n"/>
      <c r="L12" s="205" t="n"/>
      <c r="M12" s="206" t="n"/>
      <c r="N12" s="224" t="n"/>
      <c r="O12" s="184" t="n"/>
      <c r="P12" s="184" t="n"/>
      <c r="Q12" s="184" t="n"/>
      <c r="R12" s="184" t="n"/>
      <c r="S12" s="185" t="n"/>
    </row>
    <row r="13">
      <c r="A13" s="3" t="inlineStr">
        <is>
          <t>Conexões e faceamento</t>
        </is>
      </c>
      <c r="B13" s="148" t="n"/>
      <c r="C13" s="205" t="n"/>
      <c r="D13" s="205" t="n"/>
      <c r="E13" s="205" t="n"/>
      <c r="F13" s="205" t="n"/>
      <c r="G13" s="205" t="n"/>
      <c r="H13" s="3" t="inlineStr">
        <is>
          <t>Conexão pneumática</t>
        </is>
      </c>
      <c r="I13" s="205" t="n"/>
      <c r="J13" s="205" t="n"/>
      <c r="K13" s="205" t="n"/>
      <c r="L13" s="205" t="n"/>
      <c r="M13" s="206" t="n"/>
      <c r="N13" s="224" t="n"/>
      <c r="O13" s="184" t="n"/>
      <c r="P13" s="184" t="n"/>
      <c r="Q13" s="184" t="n"/>
      <c r="R13" s="184" t="n"/>
      <c r="S13" s="185" t="n"/>
    </row>
    <row r="14">
      <c r="A14" s="3" t="inlineStr">
        <is>
          <t>Castelo</t>
        </is>
      </c>
      <c r="B14" s="148" t="n"/>
      <c r="C14" s="205" t="n"/>
      <c r="D14" s="205" t="n"/>
      <c r="E14" s="205" t="n"/>
      <c r="F14" s="205" t="n"/>
      <c r="G14" s="205" t="n"/>
      <c r="H14" s="3" t="inlineStr">
        <is>
          <t>Classificação da área</t>
        </is>
      </c>
      <c r="I14" s="205" t="n"/>
      <c r="J14" s="205" t="n"/>
      <c r="K14" s="205" t="n"/>
      <c r="L14" s="205" t="n"/>
      <c r="M14" s="206" t="n"/>
      <c r="N14" s="224" t="n"/>
      <c r="O14" s="184" t="n"/>
      <c r="P14" s="184" t="n"/>
      <c r="Q14" s="184" t="n"/>
      <c r="R14" s="184" t="n"/>
      <c r="S14" s="185" t="n"/>
    </row>
    <row r="15" ht="13.8" customHeight="1" thickBot="1">
      <c r="A15" s="16" t="inlineStr">
        <is>
          <t>Classe de vedação</t>
        </is>
      </c>
      <c r="B15" s="150" t="n"/>
      <c r="C15" s="184" t="n"/>
      <c r="D15" s="184" t="n"/>
      <c r="E15" s="184" t="n"/>
      <c r="F15" s="184" t="n"/>
      <c r="G15" s="184" t="n"/>
      <c r="H15" s="6" t="inlineStr">
        <is>
          <t>Classificação do invólucro</t>
        </is>
      </c>
      <c r="I15" s="208" t="n"/>
      <c r="J15" s="208" t="n"/>
      <c r="K15" s="208" t="n"/>
      <c r="L15" s="208" t="n"/>
      <c r="M15" s="209" t="n"/>
      <c r="N15" s="225" t="n"/>
      <c r="O15" s="208" t="n"/>
      <c r="P15" s="208" t="n"/>
      <c r="Q15" s="208" t="n"/>
      <c r="R15" s="208" t="n"/>
      <c r="S15" s="226" t="n"/>
    </row>
    <row r="16" ht="13.8" customHeight="1" thickBot="1">
      <c r="A16" s="220" t="inlineStr">
        <is>
          <t>INTERNOS</t>
        </is>
      </c>
      <c r="B16" s="221" t="n"/>
      <c r="C16" s="221" t="n"/>
      <c r="D16" s="221" t="n"/>
      <c r="E16" s="221" t="n"/>
      <c r="F16" s="221" t="n"/>
      <c r="G16" s="222" t="n"/>
      <c r="H16" s="220" t="inlineStr">
        <is>
          <t>FINS DE CURSO</t>
        </is>
      </c>
      <c r="I16" s="221" t="n"/>
      <c r="J16" s="221" t="n"/>
      <c r="K16" s="221" t="n"/>
      <c r="L16" s="221" t="n"/>
      <c r="M16" s="221" t="n"/>
      <c r="N16" s="221" t="n"/>
      <c r="O16" s="221" t="n"/>
      <c r="P16" s="221" t="n"/>
      <c r="Q16" s="221" t="n"/>
      <c r="R16" s="221" t="n"/>
      <c r="S16" s="222" t="n"/>
      <c r="X16" s="69" t="n"/>
      <c r="Y16" s="69" t="n"/>
      <c r="Z16" s="69" t="n"/>
    </row>
    <row r="17">
      <c r="A17" s="18" t="inlineStr">
        <is>
          <t>Material das gaxetas</t>
        </is>
      </c>
      <c r="B17" s="227" t="n"/>
      <c r="C17" s="212" t="n"/>
      <c r="D17" s="212" t="n"/>
      <c r="E17" s="212" t="n"/>
      <c r="F17" s="212" t="n"/>
      <c r="G17" s="214" t="n"/>
      <c r="H17" s="146" t="inlineStr">
        <is>
          <t>TAG</t>
        </is>
      </c>
      <c r="I17" s="181" t="n"/>
      <c r="J17" s="181" t="n"/>
      <c r="K17" s="181" t="n"/>
      <c r="L17" s="181" t="n"/>
      <c r="M17" s="202" t="n"/>
      <c r="N17" s="228" t="n"/>
      <c r="S17" s="192" t="n"/>
      <c r="X17" s="69" t="n"/>
      <c r="Z17" s="69" t="n"/>
    </row>
    <row r="18">
      <c r="A18" s="3" t="inlineStr">
        <is>
          <t>Sede</t>
        </is>
      </c>
      <c r="B18" s="229" t="n"/>
      <c r="C18" s="205" t="n"/>
      <c r="D18" s="205" t="n"/>
      <c r="E18" s="205" t="n"/>
      <c r="F18" s="205" t="n"/>
      <c r="G18" s="216" t="n"/>
      <c r="H18" s="130" t="inlineStr">
        <is>
          <t>Tipo</t>
        </is>
      </c>
      <c r="I18" s="205" t="n"/>
      <c r="J18" s="205" t="n"/>
      <c r="K18" s="205" t="n"/>
      <c r="L18" s="205" t="n"/>
      <c r="M18" s="206" t="n"/>
      <c r="N18" s="224" t="n"/>
      <c r="O18" s="184" t="n"/>
      <c r="P18" s="184" t="n"/>
      <c r="Q18" s="184" t="n"/>
      <c r="R18" s="184" t="n"/>
      <c r="S18" s="185" t="n"/>
      <c r="X18" s="69" t="n"/>
      <c r="Z18" s="69" t="n"/>
    </row>
    <row r="19">
      <c r="A19" s="5" t="inlineStr">
        <is>
          <t>Material do disco</t>
        </is>
      </c>
      <c r="B19" s="229" t="n"/>
      <c r="C19" s="205" t="n"/>
      <c r="D19" s="205" t="n"/>
      <c r="E19" s="205" t="n"/>
      <c r="F19" s="205" t="n"/>
      <c r="G19" s="216" t="n"/>
      <c r="H19" s="130" t="inlineStr">
        <is>
          <t>Quantidade</t>
        </is>
      </c>
      <c r="I19" s="205" t="n"/>
      <c r="J19" s="205" t="n"/>
      <c r="K19" s="205" t="n"/>
      <c r="L19" s="205" t="n"/>
      <c r="M19" s="206" t="n"/>
      <c r="N19" s="224" t="n"/>
      <c r="O19" s="184" t="n"/>
      <c r="P19" s="184" t="n"/>
      <c r="Q19" s="184" t="n"/>
      <c r="R19" s="184" t="n"/>
      <c r="S19" s="185" t="n"/>
      <c r="X19" s="69" t="n"/>
      <c r="Z19" s="69" t="n"/>
    </row>
    <row r="20">
      <c r="A20" s="5" t="inlineStr">
        <is>
          <t>Material da haste</t>
        </is>
      </c>
      <c r="B20" s="229" t="n"/>
      <c r="C20" s="205" t="n"/>
      <c r="D20" s="205" t="n"/>
      <c r="E20" s="205" t="n"/>
      <c r="F20" s="205" t="n"/>
      <c r="G20" s="216" t="n"/>
      <c r="H20" s="130" t="inlineStr">
        <is>
          <t>Tipo dos contatos</t>
        </is>
      </c>
      <c r="I20" s="205" t="n"/>
      <c r="J20" s="205" t="n"/>
      <c r="K20" s="205" t="n"/>
      <c r="L20" s="205" t="n"/>
      <c r="M20" s="206" t="n"/>
      <c r="N20" s="224" t="n"/>
      <c r="O20" s="184" t="n"/>
      <c r="P20" s="184" t="n"/>
      <c r="Q20" s="184" t="n"/>
      <c r="R20" s="184" t="n"/>
      <c r="S20" s="185" t="n"/>
      <c r="X20" s="69" t="n"/>
      <c r="Z20" s="69" t="n"/>
    </row>
    <row r="21">
      <c r="A21" s="3" t="inlineStr">
        <is>
          <t>Obturador balanceado</t>
        </is>
      </c>
      <c r="B21" s="229" t="n"/>
      <c r="C21" s="205" t="n"/>
      <c r="D21" s="205" t="n"/>
      <c r="E21" s="205" t="n"/>
      <c r="F21" s="205" t="n"/>
      <c r="G21" s="216" t="n"/>
      <c r="H21" s="130" t="inlineStr">
        <is>
          <t>Conexão elétrica</t>
        </is>
      </c>
      <c r="I21" s="205" t="n"/>
      <c r="J21" s="205" t="n"/>
      <c r="K21" s="205" t="n"/>
      <c r="L21" s="205" t="n"/>
      <c r="M21" s="206" t="n"/>
      <c r="N21" s="224" t="n"/>
      <c r="O21" s="184" t="n"/>
      <c r="P21" s="184" t="n"/>
      <c r="Q21" s="184" t="n"/>
      <c r="R21" s="184" t="n"/>
      <c r="S21" s="185" t="n"/>
      <c r="X21" s="69" t="n"/>
      <c r="Z21" s="69" t="n"/>
    </row>
    <row r="22">
      <c r="A22" s="3" t="inlineStr">
        <is>
          <t>Direção do fluxo</t>
        </is>
      </c>
      <c r="B22" s="229" t="n"/>
      <c r="C22" s="205" t="n"/>
      <c r="D22" s="205" t="n"/>
      <c r="E22" s="205" t="n"/>
      <c r="F22" s="205" t="n"/>
      <c r="G22" s="216" t="n"/>
      <c r="H22" s="130" t="inlineStr">
        <is>
          <t>Classificação de área</t>
        </is>
      </c>
      <c r="I22" s="205" t="n"/>
      <c r="J22" s="205" t="n"/>
      <c r="K22" s="205" t="n"/>
      <c r="L22" s="205" t="n"/>
      <c r="M22" s="206" t="n"/>
      <c r="N22" s="224" t="n"/>
      <c r="O22" s="184" t="n"/>
      <c r="P22" s="184" t="n"/>
      <c r="Q22" s="184" t="n"/>
      <c r="R22" s="184" t="n"/>
      <c r="S22" s="185" t="n"/>
      <c r="X22" s="69" t="n"/>
      <c r="Z22" s="69" t="n"/>
    </row>
    <row r="23" ht="13.8" customHeight="1" thickBot="1">
      <c r="A23" s="6" t="inlineStr">
        <is>
          <t>Guias</t>
        </is>
      </c>
      <c r="B23" s="230" t="n"/>
      <c r="C23" s="208" t="n"/>
      <c r="D23" s="208" t="n"/>
      <c r="E23" s="208" t="n"/>
      <c r="F23" s="208" t="n"/>
      <c r="G23" s="226" t="n"/>
      <c r="H23" s="147" t="inlineStr">
        <is>
          <t>Classificação do invólucro</t>
        </is>
      </c>
      <c r="I23" s="184" t="n"/>
      <c r="J23" s="184" t="n"/>
      <c r="K23" s="184" t="n"/>
      <c r="L23" s="184" t="n"/>
      <c r="M23" s="231" t="n"/>
      <c r="N23" s="224" t="n"/>
      <c r="O23" s="184" t="n"/>
      <c r="P23" s="184" t="n"/>
      <c r="Q23" s="184" t="n"/>
      <c r="R23" s="184" t="n"/>
      <c r="S23" s="185" t="n"/>
      <c r="X23" s="69" t="n"/>
      <c r="Z23" s="69" t="n"/>
    </row>
    <row r="24" ht="13.8" customHeight="1" thickBot="1">
      <c r="A24" s="220" t="inlineStr">
        <is>
          <t>ATUADOR</t>
        </is>
      </c>
      <c r="B24" s="221" t="n"/>
      <c r="C24" s="221" t="n"/>
      <c r="D24" s="221" t="n"/>
      <c r="E24" s="221" t="n"/>
      <c r="F24" s="221" t="n"/>
      <c r="G24" s="222" t="n"/>
      <c r="H24" s="220" t="inlineStr">
        <is>
          <t>DADOS DE PROCESSO</t>
        </is>
      </c>
      <c r="I24" s="221" t="n"/>
      <c r="J24" s="221" t="n"/>
      <c r="K24" s="221" t="n"/>
      <c r="L24" s="221" t="n"/>
      <c r="M24" s="221" t="n"/>
      <c r="N24" s="221" t="n"/>
      <c r="O24" s="221" t="n"/>
      <c r="P24" s="221" t="n"/>
      <c r="Q24" s="221" t="n"/>
      <c r="R24" s="221" t="n"/>
      <c r="S24" s="222" t="n"/>
    </row>
    <row r="25">
      <c r="A25" s="17" t="inlineStr">
        <is>
          <t>Tipo</t>
        </is>
      </c>
      <c r="B25" s="152" t="n"/>
      <c r="C25" s="181" t="n"/>
      <c r="D25" s="181" t="n"/>
      <c r="E25" s="181" t="n"/>
      <c r="F25" s="181" t="n"/>
      <c r="G25" s="181" t="n"/>
      <c r="H25" s="18" t="inlineStr">
        <is>
          <t>Fluido</t>
        </is>
      </c>
      <c r="I25" s="212" t="n"/>
      <c r="J25" s="212" t="n"/>
      <c r="K25" s="212" t="n"/>
      <c r="L25" s="212" t="n"/>
      <c r="M25" s="213" t="n"/>
      <c r="N25" s="232" t="inlineStr">
        <is>
          <t>(NOTA 1)</t>
        </is>
      </c>
      <c r="O25" s="173" t="n"/>
      <c r="P25" s="173" t="n"/>
      <c r="Q25" s="173" t="n"/>
      <c r="R25" s="173" t="n"/>
      <c r="S25" s="177" t="n"/>
    </row>
    <row r="26">
      <c r="A26" s="3" t="inlineStr">
        <is>
          <t>Range</t>
        </is>
      </c>
      <c r="B26" s="148" t="n"/>
      <c r="C26" s="205" t="n"/>
      <c r="D26" s="205" t="n"/>
      <c r="E26" s="205" t="n"/>
      <c r="F26" s="205" t="n"/>
      <c r="G26" s="205" t="n"/>
      <c r="H26" s="3" t="inlineStr">
        <is>
          <t>Estado físico</t>
        </is>
      </c>
      <c r="I26" s="205" t="n"/>
      <c r="J26" s="205" t="n"/>
      <c r="K26" s="205" t="n"/>
      <c r="L26" s="205" t="n"/>
      <c r="M26" s="206" t="n"/>
      <c r="N26" s="233" t="n"/>
      <c r="O26" s="184" t="n"/>
      <c r="P26" s="184" t="n"/>
      <c r="Q26" s="184" t="n"/>
      <c r="R26" s="184" t="n"/>
      <c r="S26" s="185" t="n"/>
    </row>
    <row r="27">
      <c r="A27" s="3" t="inlineStr">
        <is>
          <t>Volante</t>
        </is>
      </c>
      <c r="B27" s="148" t="n"/>
      <c r="C27" s="205" t="n"/>
      <c r="D27" s="205" t="n"/>
      <c r="E27" s="205" t="n"/>
      <c r="F27" s="205" t="n"/>
      <c r="G27" s="205" t="n"/>
      <c r="H27" s="3" t="inlineStr">
        <is>
          <t>Pressão de entrada</t>
        </is>
      </c>
      <c r="I27" s="205" t="n"/>
      <c r="J27" s="205" t="n"/>
      <c r="K27" s="205" t="n"/>
      <c r="L27" s="205" t="n"/>
      <c r="M27" s="206" t="n"/>
      <c r="N27" s="233" t="inlineStr">
        <is>
          <t>3,00</t>
        </is>
      </c>
      <c r="O27" s="184" t="n"/>
      <c r="P27" s="184" t="n"/>
      <c r="Q27" s="184" t="n"/>
      <c r="R27" s="184" t="n"/>
      <c r="S27" s="185" t="n"/>
    </row>
    <row r="28">
      <c r="A28" s="3" t="inlineStr">
        <is>
          <t>Ação em caso de falha</t>
        </is>
      </c>
      <c r="B28" s="148" t="n"/>
      <c r="C28" s="205" t="n"/>
      <c r="D28" s="205" t="n"/>
      <c r="E28" s="205" t="n"/>
      <c r="F28" s="205" t="n"/>
      <c r="G28" s="205" t="n"/>
      <c r="H28" s="3" t="inlineStr">
        <is>
          <t>Pressão de saída</t>
        </is>
      </c>
      <c r="I28" s="205" t="n"/>
      <c r="J28" s="205" t="n"/>
      <c r="K28" s="205" t="n"/>
      <c r="L28" s="205" t="n"/>
      <c r="M28" s="206" t="n"/>
      <c r="N28" s="233" t="n"/>
      <c r="O28" s="184" t="n"/>
      <c r="P28" s="184" t="n"/>
      <c r="Q28" s="184" t="n"/>
      <c r="R28" s="184" t="n"/>
      <c r="S28" s="185" t="n"/>
    </row>
    <row r="29" ht="13.8" customHeight="1" thickBot="1">
      <c r="A29" s="16" t="inlineStr">
        <is>
          <t>Pressão suprimento de ar (min/max)</t>
        </is>
      </c>
      <c r="B29" s="150" t="n"/>
      <c r="C29" s="184" t="n"/>
      <c r="D29" s="184" t="n"/>
      <c r="E29" s="184" t="n"/>
      <c r="F29" s="184" t="n"/>
      <c r="G29" s="184" t="n"/>
      <c r="H29" s="3" t="inlineStr">
        <is>
          <t>Viscosidade</t>
        </is>
      </c>
      <c r="I29" s="205" t="n"/>
      <c r="J29" s="205" t="n"/>
      <c r="K29" s="205" t="n"/>
      <c r="L29" s="205" t="n"/>
      <c r="M29" s="206" t="n"/>
      <c r="N29" s="233" t="inlineStr">
        <is>
          <t>&lt;50 cP</t>
        </is>
      </c>
      <c r="O29" s="184" t="n"/>
      <c r="P29" s="184" t="n"/>
      <c r="Q29" s="184" t="n"/>
      <c r="R29" s="184" t="n"/>
      <c r="S29" s="185" t="n"/>
    </row>
    <row r="30" ht="13.8" customHeight="1" thickBot="1">
      <c r="A30" s="142" t="inlineStr">
        <is>
          <t>POSICIONADOR</t>
        </is>
      </c>
      <c r="B30" s="221" t="n"/>
      <c r="C30" s="221" t="n"/>
      <c r="D30" s="221" t="n"/>
      <c r="E30" s="221" t="n"/>
      <c r="F30" s="221" t="n"/>
      <c r="G30" s="221" t="n"/>
      <c r="H30" s="3" t="inlineStr">
        <is>
          <t>Vazão normal</t>
        </is>
      </c>
      <c r="I30" s="205" t="n"/>
      <c r="J30" s="205" t="n"/>
      <c r="K30" s="205" t="n"/>
      <c r="L30" s="205" t="n"/>
      <c r="M30" s="206" t="n"/>
      <c r="N30" s="233" t="n"/>
      <c r="O30" s="184" t="n"/>
      <c r="P30" s="184" t="n"/>
      <c r="Q30" s="184" t="n"/>
      <c r="R30" s="184" t="n"/>
      <c r="S30" s="185" t="n"/>
    </row>
    <row r="31">
      <c r="A31" s="17" t="inlineStr">
        <is>
          <t>Tipo</t>
        </is>
      </c>
      <c r="B31" s="152" t="n"/>
      <c r="C31" s="181" t="n"/>
      <c r="D31" s="181" t="n"/>
      <c r="E31" s="181" t="n"/>
      <c r="F31" s="181" t="n"/>
      <c r="G31" s="181" t="n"/>
      <c r="H31" s="3" t="inlineStr">
        <is>
          <t>Vazão máxima</t>
        </is>
      </c>
      <c r="I31" s="205" t="n"/>
      <c r="J31" s="205" t="n"/>
      <c r="K31" s="205" t="n"/>
      <c r="L31" s="205" t="n"/>
      <c r="M31" s="206" t="n"/>
      <c r="N31" s="233" t="inlineStr">
        <is>
          <t>30.0</t>
        </is>
      </c>
      <c r="O31" s="184" t="n"/>
      <c r="P31" s="184" t="n"/>
      <c r="Q31" s="184" t="n"/>
      <c r="R31" s="184" t="n"/>
      <c r="S31" s="185" t="n"/>
    </row>
    <row r="32">
      <c r="A32" s="3" t="inlineStr">
        <is>
          <t>By-pass</t>
        </is>
      </c>
      <c r="B32" s="148" t="n"/>
      <c r="C32" s="205" t="n"/>
      <c r="D32" s="205" t="n"/>
      <c r="E32" s="205" t="n"/>
      <c r="F32" s="205" t="n"/>
      <c r="G32" s="205" t="n"/>
      <c r="H32" s="3" t="inlineStr">
        <is>
          <t>Vazão mínima</t>
        </is>
      </c>
      <c r="I32" s="205" t="n"/>
      <c r="J32" s="205" t="n"/>
      <c r="K32" s="205" t="n"/>
      <c r="L32" s="205" t="n"/>
      <c r="M32" s="206" t="n"/>
      <c r="N32" s="233" t="inlineStr">
        <is>
          <t>15.0</t>
        </is>
      </c>
      <c r="O32" s="184" t="n"/>
      <c r="P32" s="184" t="n"/>
      <c r="Q32" s="184" t="n"/>
      <c r="R32" s="184" t="n"/>
      <c r="S32" s="185" t="n"/>
    </row>
    <row r="33">
      <c r="A33" s="3" t="inlineStr">
        <is>
          <t>Manômetros quantidade</t>
        </is>
      </c>
      <c r="B33" s="148" t="n"/>
      <c r="C33" s="205" t="n"/>
      <c r="D33" s="205" t="n"/>
      <c r="E33" s="205" t="n"/>
      <c r="F33" s="205" t="n"/>
      <c r="G33" s="205" t="n"/>
      <c r="H33" s="3" t="inlineStr">
        <is>
          <t>Pressão shut off</t>
        </is>
      </c>
      <c r="I33" s="205" t="n"/>
      <c r="J33" s="205" t="n"/>
      <c r="K33" s="205" t="n"/>
      <c r="L33" s="205" t="n"/>
      <c r="M33" s="206" t="n"/>
      <c r="N33" s="233" t="n"/>
      <c r="O33" s="184" t="n"/>
      <c r="P33" s="184" t="n"/>
      <c r="Q33" s="184" t="n"/>
      <c r="R33" s="184" t="n"/>
      <c r="S33" s="185" t="n"/>
    </row>
    <row r="34">
      <c r="A34" s="3" t="inlineStr">
        <is>
          <t>Sinal de entrada</t>
        </is>
      </c>
      <c r="B34" s="148" t="n"/>
      <c r="C34" s="205" t="n"/>
      <c r="D34" s="205" t="n"/>
      <c r="E34" s="205" t="n"/>
      <c r="F34" s="205" t="n"/>
      <c r="G34" s="205" t="n"/>
      <c r="H34" s="3" t="inlineStr">
        <is>
          <t>Temperatura máxima</t>
        </is>
      </c>
      <c r="I34" s="205" t="n"/>
      <c r="J34" s="205" t="n"/>
      <c r="K34" s="205" t="n"/>
      <c r="L34" s="205" t="n"/>
      <c r="M34" s="206" t="n"/>
      <c r="N34" s="233" t="inlineStr">
        <is>
          <t>35</t>
        </is>
      </c>
      <c r="O34" s="184" t="n"/>
      <c r="P34" s="184" t="n"/>
      <c r="Q34" s="184" t="n"/>
      <c r="R34" s="184" t="n"/>
      <c r="S34" s="185" t="n"/>
    </row>
    <row r="35">
      <c r="A35" s="3" t="inlineStr">
        <is>
          <t>Sial de saída</t>
        </is>
      </c>
      <c r="B35" s="148" t="n"/>
      <c r="C35" s="205" t="n"/>
      <c r="D35" s="205" t="n"/>
      <c r="E35" s="205" t="n"/>
      <c r="F35" s="205" t="n"/>
      <c r="G35" s="205" t="n"/>
      <c r="H35" s="3" t="inlineStr">
        <is>
          <t>Temperatura normal</t>
        </is>
      </c>
      <c r="I35" s="205" t="n"/>
      <c r="J35" s="205" t="n"/>
      <c r="K35" s="205" t="n"/>
      <c r="L35" s="205" t="n"/>
      <c r="M35" s="206" t="n"/>
      <c r="N35" s="233" t="n"/>
      <c r="O35" s="184" t="n"/>
      <c r="P35" s="184" t="n"/>
      <c r="Q35" s="184" t="n"/>
      <c r="R35" s="184" t="n"/>
      <c r="S35" s="185" t="n"/>
    </row>
    <row r="36">
      <c r="A36" s="3" t="inlineStr">
        <is>
          <t>Característica do came</t>
        </is>
      </c>
      <c r="B36" s="148" t="n"/>
      <c r="C36" s="205" t="n"/>
      <c r="D36" s="205" t="n"/>
      <c r="E36" s="205" t="n"/>
      <c r="F36" s="205" t="n"/>
      <c r="G36" s="205" t="n"/>
      <c r="H36" s="3" t="inlineStr">
        <is>
          <t>Massa específica</t>
        </is>
      </c>
      <c r="I36" s="205" t="n"/>
      <c r="J36" s="205" t="n"/>
      <c r="K36" s="205" t="n"/>
      <c r="L36" s="205" t="n"/>
      <c r="M36" s="206" t="n"/>
      <c r="N36" s="233" t="inlineStr">
        <is>
          <t>1120 kg/m³</t>
        </is>
      </c>
      <c r="O36" s="184" t="n"/>
      <c r="P36" s="184" t="n"/>
      <c r="Q36" s="184" t="n"/>
      <c r="R36" s="184" t="n"/>
      <c r="S36" s="185" t="n"/>
    </row>
    <row r="37" ht="13.8" customHeight="1" thickBot="1">
      <c r="A37" s="16" t="inlineStr">
        <is>
          <t>Alimentação de ar</t>
        </is>
      </c>
      <c r="B37" s="150" t="n"/>
      <c r="C37" s="184" t="n"/>
      <c r="D37" s="184" t="n"/>
      <c r="E37" s="184" t="n"/>
      <c r="F37" s="184" t="n"/>
      <c r="G37" s="184" t="n"/>
      <c r="H37" s="3" t="inlineStr">
        <is>
          <t>Cv calculado (máximo) / % abertura</t>
        </is>
      </c>
      <c r="I37" s="205" t="n"/>
      <c r="J37" s="205" t="n"/>
      <c r="K37" s="205" t="n"/>
      <c r="L37" s="205" t="n"/>
      <c r="M37" s="206" t="n"/>
      <c r="N37" s="224" t="n"/>
      <c r="O37" s="184" t="n"/>
      <c r="P37" s="184" t="n"/>
      <c r="Q37" s="184" t="n"/>
      <c r="R37" s="184" t="n"/>
      <c r="S37" s="185" t="n"/>
    </row>
    <row r="38" ht="13.8" customHeight="1" thickBot="1">
      <c r="A38" s="142" t="inlineStr">
        <is>
          <t>ACESSÓRIOS</t>
        </is>
      </c>
      <c r="B38" s="221" t="n"/>
      <c r="C38" s="221" t="n"/>
      <c r="D38" s="221" t="n"/>
      <c r="E38" s="221" t="n"/>
      <c r="F38" s="221" t="n"/>
      <c r="G38" s="221" t="n"/>
      <c r="H38" s="3" t="inlineStr">
        <is>
          <t>Cv calculado (normal) / % abertura</t>
        </is>
      </c>
      <c r="I38" s="205" t="n"/>
      <c r="J38" s="205" t="n"/>
      <c r="K38" s="205" t="n"/>
      <c r="L38" s="205" t="n"/>
      <c r="M38" s="206" t="n"/>
      <c r="N38" s="224" t="n"/>
      <c r="O38" s="184" t="n"/>
      <c r="P38" s="184" t="n"/>
      <c r="Q38" s="184" t="n"/>
      <c r="R38" s="184" t="n"/>
      <c r="S38" s="185" t="n"/>
    </row>
    <row r="39">
      <c r="A39" s="17" t="inlineStr">
        <is>
          <t>Filtro / Filtro regulador</t>
        </is>
      </c>
      <c r="B39" s="152" t="n"/>
      <c r="C39" s="181" t="n"/>
      <c r="D39" s="181" t="n"/>
      <c r="E39" s="181" t="n"/>
      <c r="F39" s="181" t="n"/>
      <c r="G39" s="181" t="n"/>
      <c r="H39" s="3" t="inlineStr">
        <is>
          <t>Cv calculado (mínimo) / % abertura</t>
        </is>
      </c>
      <c r="I39" s="205" t="n"/>
      <c r="J39" s="205" t="n"/>
      <c r="K39" s="205" t="n"/>
      <c r="L39" s="205" t="n"/>
      <c r="M39" s="206" t="n"/>
      <c r="N39" s="224" t="n"/>
      <c r="O39" s="184" t="n"/>
      <c r="P39" s="184" t="n"/>
      <c r="Q39" s="184" t="n"/>
      <c r="R39" s="184" t="n"/>
      <c r="S39" s="185" t="n"/>
    </row>
    <row r="40">
      <c r="A40" s="3" t="inlineStr">
        <is>
          <t>Manômetro para o regulador</t>
        </is>
      </c>
      <c r="B40" s="148" t="n"/>
      <c r="C40" s="205" t="n"/>
      <c r="D40" s="205" t="n"/>
      <c r="E40" s="205" t="n"/>
      <c r="F40" s="205" t="n"/>
      <c r="G40" s="205" t="n"/>
      <c r="H40" s="3" t="inlineStr">
        <is>
          <t>Cv selecionado</t>
        </is>
      </c>
      <c r="I40" s="205" t="n"/>
      <c r="J40" s="205" t="n"/>
      <c r="K40" s="205" t="n"/>
      <c r="L40" s="205" t="n"/>
      <c r="M40" s="206" t="n"/>
      <c r="N40" s="224" t="n"/>
      <c r="O40" s="184" t="n"/>
      <c r="P40" s="184" t="n"/>
      <c r="Q40" s="184" t="n"/>
      <c r="R40" s="184" t="n"/>
      <c r="S40" s="185" t="n"/>
    </row>
    <row r="41" ht="13.8" customHeight="1" thickBot="1">
      <c r="A41" s="6" t="inlineStr">
        <is>
          <t>Posição do volante</t>
        </is>
      </c>
      <c r="B41" s="154" t="n"/>
      <c r="C41" s="208" t="n"/>
      <c r="D41" s="208" t="n"/>
      <c r="E41" s="208" t="n"/>
      <c r="F41" s="208" t="n"/>
      <c r="G41" s="208" t="n"/>
      <c r="H41" s="6" t="inlineStr">
        <is>
          <t>Nível de ruído</t>
        </is>
      </c>
      <c r="I41" s="208" t="n"/>
      <c r="J41" s="208" t="n"/>
      <c r="K41" s="208" t="n"/>
      <c r="L41" s="208" t="n"/>
      <c r="M41" s="209" t="n"/>
      <c r="N41" s="225" t="n"/>
      <c r="O41" s="208" t="n"/>
      <c r="P41" s="208" t="n"/>
      <c r="Q41" s="208" t="n"/>
      <c r="R41" s="208" t="n"/>
      <c r="S41" s="226" t="n"/>
    </row>
    <row r="42">
      <c r="A42" s="234" t="inlineStr">
        <is>
          <t>Notas:</t>
        </is>
      </c>
      <c r="B42" s="173" t="n"/>
      <c r="C42" s="173" t="n"/>
      <c r="D42" s="173" t="n"/>
      <c r="E42" s="173" t="n"/>
      <c r="F42" s="173" t="n"/>
      <c r="G42" s="173" t="n"/>
      <c r="H42" s="173" t="n"/>
      <c r="I42" s="173" t="n"/>
      <c r="J42" s="173" t="n"/>
      <c r="K42" s="173" t="n"/>
      <c r="L42" s="173" t="n"/>
      <c r="M42" s="173" t="n"/>
      <c r="N42" s="173" t="n"/>
      <c r="O42" s="173" t="n"/>
      <c r="P42" s="173" t="n"/>
      <c r="Q42" s="173" t="n"/>
      <c r="R42" s="173" t="n"/>
      <c r="S42" s="177" t="n"/>
    </row>
    <row r="43" ht="13.8" customHeight="1" thickBot="1">
      <c r="A43" s="235" t="inlineStr">
        <is>
          <t>(NOTA 1): CRESTIVO (A16003E); BIRK 25% (A25191A); BIRTEA; CRESTIVO DUO</t>
        </is>
      </c>
      <c r="B43" s="197" t="n"/>
      <c r="C43" s="197" t="n"/>
      <c r="D43" s="197" t="n"/>
      <c r="E43" s="197" t="n"/>
      <c r="F43" s="197" t="n"/>
      <c r="G43" s="197" t="n"/>
      <c r="H43" s="197" t="n"/>
      <c r="I43" s="197" t="n"/>
      <c r="J43" s="197" t="n"/>
      <c r="K43" s="197" t="n"/>
      <c r="L43" s="197" t="n"/>
      <c r="M43" s="197" t="n"/>
      <c r="N43" s="197" t="n"/>
      <c r="O43" s="197" t="n"/>
      <c r="P43" s="197" t="n"/>
      <c r="Q43" s="197" t="n"/>
      <c r="R43" s="197" t="n"/>
      <c r="S43" s="199" t="n"/>
    </row>
    <row r="44">
      <c r="A44" s="7" t="n"/>
    </row>
    <row r="45">
      <c r="A45" s="2" t="n"/>
    </row>
    <row r="46">
      <c r="A46" s="2" t="n"/>
    </row>
    <row r="47">
      <c r="A47" s="2" t="n"/>
    </row>
    <row r="48">
      <c r="A48" s="2" t="n"/>
    </row>
    <row r="49">
      <c r="A49" s="2" t="n"/>
    </row>
    <row r="50">
      <c r="A50" s="2" t="n"/>
    </row>
    <row r="51">
      <c r="A51" s="2" t="n"/>
    </row>
    <row r="52">
      <c r="A52" s="2" t="n"/>
    </row>
    <row r="53">
      <c r="A53" s="2" t="n"/>
    </row>
    <row r="54">
      <c r="A54" s="2" t="n"/>
    </row>
  </sheetData>
  <mergeCells count="116">
    <mergeCell ref="H21:M21"/>
    <mergeCell ref="N23:S23"/>
    <mergeCell ref="B8:G8"/>
    <mergeCell ref="N18:S18"/>
    <mergeCell ref="A1:A4"/>
    <mergeCell ref="N8:S8"/>
    <mergeCell ref="H7:M7"/>
    <mergeCell ref="B10:G10"/>
    <mergeCell ref="N10:S10"/>
    <mergeCell ref="A30:G30"/>
    <mergeCell ref="H27:M27"/>
    <mergeCell ref="N34:S34"/>
    <mergeCell ref="H33:M33"/>
    <mergeCell ref="B36:G36"/>
    <mergeCell ref="N27:S27"/>
    <mergeCell ref="H5:S5"/>
    <mergeCell ref="N36:S36"/>
    <mergeCell ref="H35:M35"/>
    <mergeCell ref="N11:S11"/>
    <mergeCell ref="N20:S20"/>
    <mergeCell ref="B22:G22"/>
    <mergeCell ref="B31:G31"/>
    <mergeCell ref="N22:S22"/>
    <mergeCell ref="H9:M9"/>
    <mergeCell ref="B12:G12"/>
    <mergeCell ref="H39:M39"/>
    <mergeCell ref="B21:G21"/>
    <mergeCell ref="B39:G39"/>
    <mergeCell ref="N12:S12"/>
    <mergeCell ref="N21:S21"/>
    <mergeCell ref="B14:G14"/>
    <mergeCell ref="B23:G23"/>
    <mergeCell ref="N14:S14"/>
    <mergeCell ref="B13:G13"/>
    <mergeCell ref="A43:S43"/>
    <mergeCell ref="N38:S38"/>
    <mergeCell ref="H16:S16"/>
    <mergeCell ref="H32:M32"/>
    <mergeCell ref="H13:M13"/>
    <mergeCell ref="N40:S40"/>
    <mergeCell ref="B33:G33"/>
    <mergeCell ref="H15:M15"/>
    <mergeCell ref="H18:M18"/>
    <mergeCell ref="B41:G41"/>
    <mergeCell ref="B35:G35"/>
    <mergeCell ref="C2:S2"/>
    <mergeCell ref="H8:M8"/>
    <mergeCell ref="N26:S26"/>
    <mergeCell ref="N35:S35"/>
    <mergeCell ref="H26:M26"/>
    <mergeCell ref="B25:G25"/>
    <mergeCell ref="N25:S25"/>
    <mergeCell ref="H10:M10"/>
    <mergeCell ref="H41:M41"/>
    <mergeCell ref="B27:G27"/>
    <mergeCell ref="H34:M34"/>
    <mergeCell ref="H25:M25"/>
    <mergeCell ref="B11:G11"/>
    <mergeCell ref="A5:G5"/>
    <mergeCell ref="A42:S42"/>
    <mergeCell ref="H36:M36"/>
    <mergeCell ref="A38:G38"/>
    <mergeCell ref="H17:M17"/>
    <mergeCell ref="N39:S39"/>
    <mergeCell ref="H11:M11"/>
    <mergeCell ref="B29:G29"/>
    <mergeCell ref="N29:S29"/>
    <mergeCell ref="H19:M19"/>
    <mergeCell ref="H28:M28"/>
    <mergeCell ref="H37:M37"/>
    <mergeCell ref="A24:G24"/>
    <mergeCell ref="N13:S13"/>
    <mergeCell ref="B40:G40"/>
    <mergeCell ref="H12:M12"/>
    <mergeCell ref="N31:S31"/>
    <mergeCell ref="B15:G15"/>
    <mergeCell ref="J1:S1"/>
    <mergeCell ref="N6:S6"/>
    <mergeCell ref="N15:S15"/>
    <mergeCell ref="H24:S24"/>
    <mergeCell ref="H14:M14"/>
    <mergeCell ref="B32:G32"/>
    <mergeCell ref="H23:M23"/>
    <mergeCell ref="A16:G16"/>
    <mergeCell ref="B26:G26"/>
    <mergeCell ref="Y16:Y23"/>
    <mergeCell ref="B7:G7"/>
    <mergeCell ref="H38:M38"/>
    <mergeCell ref="N32:S32"/>
    <mergeCell ref="N7:S7"/>
    <mergeCell ref="N41:S41"/>
    <mergeCell ref="H40:M40"/>
    <mergeCell ref="B18:G18"/>
    <mergeCell ref="N33:S33"/>
    <mergeCell ref="B17:G17"/>
    <mergeCell ref="N17:S17"/>
    <mergeCell ref="B19:G19"/>
    <mergeCell ref="B34:G34"/>
    <mergeCell ref="B28:G28"/>
    <mergeCell ref="B37:G37"/>
    <mergeCell ref="N19:S19"/>
    <mergeCell ref="H22:M22"/>
    <mergeCell ref="B9:G9"/>
    <mergeCell ref="N28:S28"/>
    <mergeCell ref="N9:S9"/>
    <mergeCell ref="B6:G6"/>
    <mergeCell ref="B20:G20"/>
    <mergeCell ref="N30:S30"/>
    <mergeCell ref="B3:S4"/>
    <mergeCell ref="H30:M30"/>
    <mergeCell ref="H20:M20"/>
    <mergeCell ref="H29:M29"/>
    <mergeCell ref="B1:H1"/>
    <mergeCell ref="N37:S37"/>
    <mergeCell ref="H31:M31"/>
    <mergeCell ref="H6:M6"/>
  </mergeCells>
  <pageMargins left="0.25" right="0.25" top="0.75" bottom="0.75" header="0.3" footer="0.3"/>
  <pageSetup orientation="portrait" paperSize="9" scale="82"/>
</worksheet>
</file>

<file path=xl/worksheets/sheet19.xml><?xml version="1.0" encoding="utf-8"?>
<worksheet xmlns="http://schemas.openxmlformats.org/spreadsheetml/2006/main">
  <sheetPr codeName="Planilha2">
    <outlinePr summaryBelow="1" summaryRight="1"/>
    <pageSetUpPr fitToPage="1"/>
  </sheetPr>
  <dimension ref="A1:Z54"/>
  <sheetViews>
    <sheetView workbookViewId="0">
      <selection activeCell="A1" sqref="A1"/>
    </sheetView>
  </sheetViews>
  <sheetFormatPr baseColWidth="8" defaultRowHeight="13.2"/>
  <cols>
    <col width="35.109375" bestFit="1" customWidth="1" style="137" min="1" max="1"/>
    <col width="4.88671875" customWidth="1" style="137" min="2" max="19"/>
  </cols>
  <sheetData>
    <row r="1" ht="14.25" customHeight="1">
      <c r="A1" s="210">
        <f>_xlfn.IMAGE("https://technikgrupo.sharepoint.com/sites/transfer/Logos/Technik.png")</f>
        <v/>
      </c>
      <c r="B1" s="211" t="inlineStr">
        <is>
          <t>FOLHA DE DADOS</t>
        </is>
      </c>
      <c r="C1" s="212" t="n"/>
      <c r="D1" s="212" t="n"/>
      <c r="E1" s="212" t="n"/>
      <c r="F1" s="212" t="n"/>
      <c r="G1" s="212" t="n"/>
      <c r="H1" s="213" t="n"/>
      <c r="I1" s="19" t="inlineStr">
        <is>
          <t>Nº.:</t>
        </is>
      </c>
      <c r="J1" s="166">
        <f>"FD-"&amp;Config!D2&amp;"-"&amp;Config!F2&amp;"-001"</f>
        <v/>
      </c>
      <c r="K1" s="212" t="n"/>
      <c r="L1" s="212" t="n"/>
      <c r="M1" s="212" t="n"/>
      <c r="N1" s="212" t="n"/>
      <c r="O1" s="212" t="n"/>
      <c r="P1" s="212" t="n"/>
      <c r="Q1" s="212" t="n"/>
      <c r="R1" s="212" t="n"/>
      <c r="S1" s="214" t="n"/>
    </row>
    <row r="2" ht="14.25" customHeight="1">
      <c r="A2" s="215" t="n"/>
      <c r="B2" s="20" t="inlineStr">
        <is>
          <t>ÁREA:</t>
        </is>
      </c>
      <c r="C2" s="164" t="inlineStr">
        <is>
          <t>PÁTIO D3</t>
        </is>
      </c>
      <c r="D2" s="205" t="n"/>
      <c r="E2" s="205" t="n"/>
      <c r="F2" s="205" t="n"/>
      <c r="G2" s="205" t="n"/>
      <c r="H2" s="205" t="n"/>
      <c r="I2" s="205" t="n"/>
      <c r="J2" s="205" t="n"/>
      <c r="K2" s="205" t="n"/>
      <c r="L2" s="205" t="n"/>
      <c r="M2" s="205" t="n"/>
      <c r="N2" s="205" t="n"/>
      <c r="O2" s="205" t="n"/>
      <c r="P2" s="205" t="n"/>
      <c r="Q2" s="205" t="n"/>
      <c r="R2" s="205" t="n"/>
      <c r="S2" s="216" t="n"/>
    </row>
    <row r="3" ht="14.25" customHeight="1">
      <c r="A3" s="215" t="n"/>
      <c r="B3" s="217" t="inlineStr">
        <is>
          <t>VÁLVULA ON OFF</t>
        </is>
      </c>
      <c r="C3" s="184" t="n"/>
      <c r="D3" s="184" t="n"/>
      <c r="E3" s="184" t="n"/>
      <c r="F3" s="184" t="n"/>
      <c r="G3" s="184" t="n"/>
      <c r="H3" s="184" t="n"/>
      <c r="I3" s="184" t="n"/>
      <c r="J3" s="184" t="n"/>
      <c r="K3" s="184" t="n"/>
      <c r="L3" s="184" t="n"/>
      <c r="M3" s="184" t="n"/>
      <c r="N3" s="184" t="n"/>
      <c r="O3" s="184" t="n"/>
      <c r="P3" s="184" t="n"/>
      <c r="Q3" s="184" t="n"/>
      <c r="R3" s="184" t="n"/>
      <c r="S3" s="185" t="n"/>
    </row>
    <row r="4" ht="14.25" customHeight="1" thickBot="1">
      <c r="A4" s="218" t="n"/>
      <c r="B4" s="219" t="n"/>
      <c r="C4" s="197" t="n"/>
      <c r="D4" s="197" t="n"/>
      <c r="E4" s="197" t="n"/>
      <c r="F4" s="197" t="n"/>
      <c r="G4" s="197" t="n"/>
      <c r="H4" s="197" t="n"/>
      <c r="I4" s="197" t="n"/>
      <c r="J4" s="197" t="n"/>
      <c r="K4" s="197" t="n"/>
      <c r="L4" s="197" t="n"/>
      <c r="M4" s="197" t="n"/>
      <c r="N4" s="197" t="n"/>
      <c r="O4" s="197" t="n"/>
      <c r="P4" s="197" t="n"/>
      <c r="Q4" s="197" t="n"/>
      <c r="R4" s="197" t="n"/>
      <c r="S4" s="199" t="n"/>
    </row>
    <row r="5" ht="13.8" customHeight="1" thickBot="1">
      <c r="A5" s="220" t="inlineStr">
        <is>
          <t>GERAL</t>
        </is>
      </c>
      <c r="B5" s="221" t="n"/>
      <c r="C5" s="221" t="n"/>
      <c r="D5" s="221" t="n"/>
      <c r="E5" s="221" t="n"/>
      <c r="F5" s="221" t="n"/>
      <c r="G5" s="222" t="n"/>
      <c r="H5" s="220" t="inlineStr">
        <is>
          <t>VÁLVULA SOLENÓIDE</t>
        </is>
      </c>
      <c r="I5" s="221" t="n"/>
      <c r="J5" s="221" t="n"/>
      <c r="K5" s="221" t="n"/>
      <c r="L5" s="221" t="n"/>
      <c r="M5" s="221" t="n"/>
      <c r="N5" s="221" t="n"/>
      <c r="O5" s="221" t="n"/>
      <c r="P5" s="221" t="n"/>
      <c r="Q5" s="221" t="n"/>
      <c r="R5" s="221" t="n"/>
      <c r="S5" s="222" t="n"/>
    </row>
    <row r="6">
      <c r="A6" s="17" t="inlineStr">
        <is>
          <t>TAG / Quantidade</t>
        </is>
      </c>
      <c r="B6" s="167" t="inlineStr">
        <is>
          <t>XV-1715.7</t>
        </is>
      </c>
      <c r="C6" s="181" t="n"/>
      <c r="D6" s="181" t="n"/>
      <c r="E6" s="181" t="n"/>
      <c r="F6" s="181" t="n"/>
      <c r="G6" s="181" t="n"/>
      <c r="H6" s="18" t="inlineStr">
        <is>
          <t>TAG</t>
        </is>
      </c>
      <c r="I6" s="212" t="n"/>
      <c r="J6" s="212" t="n"/>
      <c r="K6" s="212" t="n"/>
      <c r="L6" s="212" t="n"/>
      <c r="M6" s="213" t="n"/>
      <c r="N6" s="223" t="n"/>
      <c r="O6" s="173" t="n"/>
      <c r="P6" s="173" t="n"/>
      <c r="Q6" s="173" t="n"/>
      <c r="R6" s="173" t="n"/>
      <c r="S6" s="177" t="n"/>
    </row>
    <row r="7">
      <c r="A7" s="3" t="inlineStr">
        <is>
          <t>Função</t>
        </is>
      </c>
      <c r="B7" s="158" t="n"/>
      <c r="C7" s="205" t="n"/>
      <c r="D7" s="205" t="n"/>
      <c r="E7" s="205" t="n"/>
      <c r="F7" s="205" t="n"/>
      <c r="G7" s="205" t="n"/>
      <c r="H7" s="3" t="inlineStr">
        <is>
          <t>Tipo</t>
        </is>
      </c>
      <c r="I7" s="205" t="n"/>
      <c r="J7" s="205" t="n"/>
      <c r="K7" s="205" t="n"/>
      <c r="L7" s="205" t="n"/>
      <c r="M7" s="206" t="n"/>
      <c r="N7" s="224" t="n"/>
      <c r="O7" s="184" t="n"/>
      <c r="P7" s="184" t="n"/>
      <c r="Q7" s="184" t="n"/>
      <c r="R7" s="184" t="n"/>
      <c r="S7" s="185" t="n"/>
    </row>
    <row r="8">
      <c r="A8" s="4" t="inlineStr">
        <is>
          <t>Fluxograma</t>
        </is>
      </c>
      <c r="B8" s="158" t="inlineStr">
        <is>
          <t>PHS2-PR27-1701-FL.01 Rev. 74I</t>
        </is>
      </c>
      <c r="C8" s="205" t="n"/>
      <c r="D8" s="205" t="n"/>
      <c r="E8" s="205" t="n"/>
      <c r="F8" s="205" t="n"/>
      <c r="G8" s="205" t="n"/>
      <c r="H8" s="3" t="inlineStr">
        <is>
          <t>Número de vias/posições</t>
        </is>
      </c>
      <c r="I8" s="205" t="n"/>
      <c r="J8" s="205" t="n"/>
      <c r="K8" s="205" t="n"/>
      <c r="L8" s="205" t="n"/>
      <c r="M8" s="206" t="n"/>
      <c r="N8" s="224" t="n"/>
      <c r="O8" s="184" t="n"/>
      <c r="P8" s="184" t="n"/>
      <c r="Q8" s="184" t="n"/>
      <c r="R8" s="184" t="n"/>
      <c r="S8" s="185" t="n"/>
    </row>
    <row r="9">
      <c r="A9" s="3" t="inlineStr">
        <is>
          <t>Bitola da linha</t>
        </is>
      </c>
      <c r="B9" s="158" t="n"/>
      <c r="C9" s="205" t="n"/>
      <c r="D9" s="205" t="n"/>
      <c r="E9" s="205" t="n"/>
      <c r="F9" s="205" t="n"/>
      <c r="G9" s="205" t="n"/>
      <c r="H9" s="3" t="inlineStr">
        <is>
          <t>Material do corpo</t>
        </is>
      </c>
      <c r="I9" s="205" t="n"/>
      <c r="J9" s="205" t="n"/>
      <c r="K9" s="205" t="n"/>
      <c r="L9" s="205" t="n"/>
      <c r="M9" s="206" t="n"/>
      <c r="N9" s="224" t="n"/>
      <c r="O9" s="184" t="n"/>
      <c r="P9" s="184" t="n"/>
      <c r="Q9" s="184" t="n"/>
      <c r="R9" s="184" t="n"/>
      <c r="S9" s="185" t="n"/>
    </row>
    <row r="10">
      <c r="A10" s="3" t="inlineStr">
        <is>
          <t>Tipo do corpo</t>
        </is>
      </c>
      <c r="B10" s="158" t="inlineStr">
        <is>
          <t>ESFERA AUTOMÁTICA</t>
        </is>
      </c>
      <c r="C10" s="205" t="n"/>
      <c r="D10" s="205" t="n"/>
      <c r="E10" s="205" t="n"/>
      <c r="F10" s="205" t="n"/>
      <c r="G10" s="205" t="n"/>
      <c r="H10" s="3" t="inlineStr">
        <is>
          <t>Classe da bobina</t>
        </is>
      </c>
      <c r="I10" s="205" t="n"/>
      <c r="J10" s="205" t="n"/>
      <c r="K10" s="205" t="n"/>
      <c r="L10" s="205" t="n"/>
      <c r="M10" s="206" t="n"/>
      <c r="N10" s="224" t="n"/>
      <c r="O10" s="184" t="n"/>
      <c r="P10" s="184" t="n"/>
      <c r="Q10" s="184" t="n"/>
      <c r="R10" s="184" t="n"/>
      <c r="S10" s="185" t="n"/>
    </row>
    <row r="11">
      <c r="A11" s="3" t="inlineStr">
        <is>
          <t>Material do corpo</t>
        </is>
      </c>
      <c r="B11" s="158" t="n"/>
      <c r="C11" s="205" t="n"/>
      <c r="D11" s="205" t="n"/>
      <c r="E11" s="205" t="n"/>
      <c r="F11" s="205" t="n"/>
      <c r="G11" s="205" t="n"/>
      <c r="H11" s="3" t="inlineStr">
        <is>
          <t>Número de bobinas</t>
        </is>
      </c>
      <c r="I11" s="205" t="n"/>
      <c r="J11" s="205" t="n"/>
      <c r="K11" s="205" t="n"/>
      <c r="L11" s="205" t="n"/>
      <c r="M11" s="206" t="n"/>
      <c r="N11" s="224" t="n"/>
      <c r="O11" s="184" t="n"/>
      <c r="P11" s="184" t="n"/>
      <c r="Q11" s="184" t="n"/>
      <c r="R11" s="184" t="n"/>
      <c r="S11" s="185" t="n"/>
    </row>
    <row r="12">
      <c r="A12" s="3" t="inlineStr">
        <is>
          <t>Diâmetro da válvula</t>
        </is>
      </c>
      <c r="B12" s="158" t="inlineStr">
        <is>
          <t>-</t>
        </is>
      </c>
      <c r="C12" s="205" t="n"/>
      <c r="D12" s="205" t="n"/>
      <c r="E12" s="205" t="n"/>
      <c r="F12" s="205" t="n"/>
      <c r="G12" s="205" t="n"/>
      <c r="H12" s="3" t="inlineStr">
        <is>
          <t>Conexão elétrica</t>
        </is>
      </c>
      <c r="I12" s="205" t="n"/>
      <c r="J12" s="205" t="n"/>
      <c r="K12" s="205" t="n"/>
      <c r="L12" s="205" t="n"/>
      <c r="M12" s="206" t="n"/>
      <c r="N12" s="224" t="n"/>
      <c r="O12" s="184" t="n"/>
      <c r="P12" s="184" t="n"/>
      <c r="Q12" s="184" t="n"/>
      <c r="R12" s="184" t="n"/>
      <c r="S12" s="185" t="n"/>
    </row>
    <row r="13">
      <c r="A13" s="3" t="inlineStr">
        <is>
          <t>Conexões e faceamento</t>
        </is>
      </c>
      <c r="B13" s="148" t="n"/>
      <c r="C13" s="205" t="n"/>
      <c r="D13" s="205" t="n"/>
      <c r="E13" s="205" t="n"/>
      <c r="F13" s="205" t="n"/>
      <c r="G13" s="205" t="n"/>
      <c r="H13" s="3" t="inlineStr">
        <is>
          <t>Conexão pneumática</t>
        </is>
      </c>
      <c r="I13" s="205" t="n"/>
      <c r="J13" s="205" t="n"/>
      <c r="K13" s="205" t="n"/>
      <c r="L13" s="205" t="n"/>
      <c r="M13" s="206" t="n"/>
      <c r="N13" s="224" t="n"/>
      <c r="O13" s="184" t="n"/>
      <c r="P13" s="184" t="n"/>
      <c r="Q13" s="184" t="n"/>
      <c r="R13" s="184" t="n"/>
      <c r="S13" s="185" t="n"/>
    </row>
    <row r="14">
      <c r="A14" s="3" t="inlineStr">
        <is>
          <t>Castelo</t>
        </is>
      </c>
      <c r="B14" s="148" t="n"/>
      <c r="C14" s="205" t="n"/>
      <c r="D14" s="205" t="n"/>
      <c r="E14" s="205" t="n"/>
      <c r="F14" s="205" t="n"/>
      <c r="G14" s="205" t="n"/>
      <c r="H14" s="3" t="inlineStr">
        <is>
          <t>Classificação da área</t>
        </is>
      </c>
      <c r="I14" s="205" t="n"/>
      <c r="J14" s="205" t="n"/>
      <c r="K14" s="205" t="n"/>
      <c r="L14" s="205" t="n"/>
      <c r="M14" s="206" t="n"/>
      <c r="N14" s="224" t="n"/>
      <c r="O14" s="184" t="n"/>
      <c r="P14" s="184" t="n"/>
      <c r="Q14" s="184" t="n"/>
      <c r="R14" s="184" t="n"/>
      <c r="S14" s="185" t="n"/>
    </row>
    <row r="15" ht="13.8" customHeight="1" thickBot="1">
      <c r="A15" s="16" t="inlineStr">
        <is>
          <t>Classe de vedação</t>
        </is>
      </c>
      <c r="B15" s="150" t="n"/>
      <c r="C15" s="184" t="n"/>
      <c r="D15" s="184" t="n"/>
      <c r="E15" s="184" t="n"/>
      <c r="F15" s="184" t="n"/>
      <c r="G15" s="184" t="n"/>
      <c r="H15" s="6" t="inlineStr">
        <is>
          <t>Classificação do invólucro</t>
        </is>
      </c>
      <c r="I15" s="208" t="n"/>
      <c r="J15" s="208" t="n"/>
      <c r="K15" s="208" t="n"/>
      <c r="L15" s="208" t="n"/>
      <c r="M15" s="209" t="n"/>
      <c r="N15" s="225" t="n"/>
      <c r="O15" s="208" t="n"/>
      <c r="P15" s="208" t="n"/>
      <c r="Q15" s="208" t="n"/>
      <c r="R15" s="208" t="n"/>
      <c r="S15" s="226" t="n"/>
    </row>
    <row r="16" ht="13.8" customHeight="1" thickBot="1">
      <c r="A16" s="220" t="inlineStr">
        <is>
          <t>INTERNOS</t>
        </is>
      </c>
      <c r="B16" s="221" t="n"/>
      <c r="C16" s="221" t="n"/>
      <c r="D16" s="221" t="n"/>
      <c r="E16" s="221" t="n"/>
      <c r="F16" s="221" t="n"/>
      <c r="G16" s="222" t="n"/>
      <c r="H16" s="220" t="inlineStr">
        <is>
          <t>FINS DE CURSO</t>
        </is>
      </c>
      <c r="I16" s="221" t="n"/>
      <c r="J16" s="221" t="n"/>
      <c r="K16" s="221" t="n"/>
      <c r="L16" s="221" t="n"/>
      <c r="M16" s="221" t="n"/>
      <c r="N16" s="221" t="n"/>
      <c r="O16" s="221" t="n"/>
      <c r="P16" s="221" t="n"/>
      <c r="Q16" s="221" t="n"/>
      <c r="R16" s="221" t="n"/>
      <c r="S16" s="222" t="n"/>
      <c r="X16" s="69" t="n"/>
      <c r="Y16" s="69" t="n"/>
      <c r="Z16" s="69" t="n"/>
    </row>
    <row r="17">
      <c r="A17" s="18" t="inlineStr">
        <is>
          <t>Material das gaxetas</t>
        </is>
      </c>
      <c r="B17" s="227" t="n"/>
      <c r="C17" s="212" t="n"/>
      <c r="D17" s="212" t="n"/>
      <c r="E17" s="212" t="n"/>
      <c r="F17" s="212" t="n"/>
      <c r="G17" s="214" t="n"/>
      <c r="H17" s="146" t="inlineStr">
        <is>
          <t>TAG</t>
        </is>
      </c>
      <c r="I17" s="181" t="n"/>
      <c r="J17" s="181" t="n"/>
      <c r="K17" s="181" t="n"/>
      <c r="L17" s="181" t="n"/>
      <c r="M17" s="202" t="n"/>
      <c r="N17" s="228" t="n"/>
      <c r="S17" s="192" t="n"/>
      <c r="X17" s="69" t="n"/>
      <c r="Z17" s="69" t="n"/>
    </row>
    <row r="18">
      <c r="A18" s="3" t="inlineStr">
        <is>
          <t>Sede</t>
        </is>
      </c>
      <c r="B18" s="229" t="n"/>
      <c r="C18" s="205" t="n"/>
      <c r="D18" s="205" t="n"/>
      <c r="E18" s="205" t="n"/>
      <c r="F18" s="205" t="n"/>
      <c r="G18" s="216" t="n"/>
      <c r="H18" s="130" t="inlineStr">
        <is>
          <t>Tipo</t>
        </is>
      </c>
      <c r="I18" s="205" t="n"/>
      <c r="J18" s="205" t="n"/>
      <c r="K18" s="205" t="n"/>
      <c r="L18" s="205" t="n"/>
      <c r="M18" s="206" t="n"/>
      <c r="N18" s="224" t="n"/>
      <c r="O18" s="184" t="n"/>
      <c r="P18" s="184" t="n"/>
      <c r="Q18" s="184" t="n"/>
      <c r="R18" s="184" t="n"/>
      <c r="S18" s="185" t="n"/>
      <c r="X18" s="69" t="n"/>
      <c r="Z18" s="69" t="n"/>
    </row>
    <row r="19">
      <c r="A19" s="5" t="inlineStr">
        <is>
          <t>Material do disco</t>
        </is>
      </c>
      <c r="B19" s="229" t="n"/>
      <c r="C19" s="205" t="n"/>
      <c r="D19" s="205" t="n"/>
      <c r="E19" s="205" t="n"/>
      <c r="F19" s="205" t="n"/>
      <c r="G19" s="216" t="n"/>
      <c r="H19" s="130" t="inlineStr">
        <is>
          <t>Quantidade</t>
        </is>
      </c>
      <c r="I19" s="205" t="n"/>
      <c r="J19" s="205" t="n"/>
      <c r="K19" s="205" t="n"/>
      <c r="L19" s="205" t="n"/>
      <c r="M19" s="206" t="n"/>
      <c r="N19" s="224" t="n"/>
      <c r="O19" s="184" t="n"/>
      <c r="P19" s="184" t="n"/>
      <c r="Q19" s="184" t="n"/>
      <c r="R19" s="184" t="n"/>
      <c r="S19" s="185" t="n"/>
      <c r="X19" s="69" t="n"/>
      <c r="Z19" s="69" t="n"/>
    </row>
    <row r="20">
      <c r="A20" s="5" t="inlineStr">
        <is>
          <t>Material da haste</t>
        </is>
      </c>
      <c r="B20" s="229" t="n"/>
      <c r="C20" s="205" t="n"/>
      <c r="D20" s="205" t="n"/>
      <c r="E20" s="205" t="n"/>
      <c r="F20" s="205" t="n"/>
      <c r="G20" s="216" t="n"/>
      <c r="H20" s="130" t="inlineStr">
        <is>
          <t>Tipo dos contatos</t>
        </is>
      </c>
      <c r="I20" s="205" t="n"/>
      <c r="J20" s="205" t="n"/>
      <c r="K20" s="205" t="n"/>
      <c r="L20" s="205" t="n"/>
      <c r="M20" s="206" t="n"/>
      <c r="N20" s="224" t="n"/>
      <c r="O20" s="184" t="n"/>
      <c r="P20" s="184" t="n"/>
      <c r="Q20" s="184" t="n"/>
      <c r="R20" s="184" t="n"/>
      <c r="S20" s="185" t="n"/>
      <c r="X20" s="69" t="n"/>
      <c r="Z20" s="69" t="n"/>
    </row>
    <row r="21">
      <c r="A21" s="3" t="inlineStr">
        <is>
          <t>Obturador balanceado</t>
        </is>
      </c>
      <c r="B21" s="229" t="n"/>
      <c r="C21" s="205" t="n"/>
      <c r="D21" s="205" t="n"/>
      <c r="E21" s="205" t="n"/>
      <c r="F21" s="205" t="n"/>
      <c r="G21" s="216" t="n"/>
      <c r="H21" s="130" t="inlineStr">
        <is>
          <t>Conexão elétrica</t>
        </is>
      </c>
      <c r="I21" s="205" t="n"/>
      <c r="J21" s="205" t="n"/>
      <c r="K21" s="205" t="n"/>
      <c r="L21" s="205" t="n"/>
      <c r="M21" s="206" t="n"/>
      <c r="N21" s="224" t="n"/>
      <c r="O21" s="184" t="n"/>
      <c r="P21" s="184" t="n"/>
      <c r="Q21" s="184" t="n"/>
      <c r="R21" s="184" t="n"/>
      <c r="S21" s="185" t="n"/>
      <c r="X21" s="69" t="n"/>
      <c r="Z21" s="69" t="n"/>
    </row>
    <row r="22">
      <c r="A22" s="3" t="inlineStr">
        <is>
          <t>Direção do fluxo</t>
        </is>
      </c>
      <c r="B22" s="229" t="n"/>
      <c r="C22" s="205" t="n"/>
      <c r="D22" s="205" t="n"/>
      <c r="E22" s="205" t="n"/>
      <c r="F22" s="205" t="n"/>
      <c r="G22" s="216" t="n"/>
      <c r="H22" s="130" t="inlineStr">
        <is>
          <t>Classificação de área</t>
        </is>
      </c>
      <c r="I22" s="205" t="n"/>
      <c r="J22" s="205" t="n"/>
      <c r="K22" s="205" t="n"/>
      <c r="L22" s="205" t="n"/>
      <c r="M22" s="206" t="n"/>
      <c r="N22" s="224" t="n"/>
      <c r="O22" s="184" t="n"/>
      <c r="P22" s="184" t="n"/>
      <c r="Q22" s="184" t="n"/>
      <c r="R22" s="184" t="n"/>
      <c r="S22" s="185" t="n"/>
      <c r="X22" s="69" t="n"/>
      <c r="Z22" s="69" t="n"/>
    </row>
    <row r="23" ht="13.8" customHeight="1" thickBot="1">
      <c r="A23" s="6" t="inlineStr">
        <is>
          <t>Guias</t>
        </is>
      </c>
      <c r="B23" s="230" t="n"/>
      <c r="C23" s="208" t="n"/>
      <c r="D23" s="208" t="n"/>
      <c r="E23" s="208" t="n"/>
      <c r="F23" s="208" t="n"/>
      <c r="G23" s="226" t="n"/>
      <c r="H23" s="147" t="inlineStr">
        <is>
          <t>Classificação do invólucro</t>
        </is>
      </c>
      <c r="I23" s="184" t="n"/>
      <c r="J23" s="184" t="n"/>
      <c r="K23" s="184" t="n"/>
      <c r="L23" s="184" t="n"/>
      <c r="M23" s="231" t="n"/>
      <c r="N23" s="224" t="n"/>
      <c r="O23" s="184" t="n"/>
      <c r="P23" s="184" t="n"/>
      <c r="Q23" s="184" t="n"/>
      <c r="R23" s="184" t="n"/>
      <c r="S23" s="185" t="n"/>
      <c r="X23" s="69" t="n"/>
      <c r="Z23" s="69" t="n"/>
    </row>
    <row r="24" ht="13.8" customHeight="1" thickBot="1">
      <c r="A24" s="220" t="inlineStr">
        <is>
          <t>ATUADOR</t>
        </is>
      </c>
      <c r="B24" s="221" t="n"/>
      <c r="C24" s="221" t="n"/>
      <c r="D24" s="221" t="n"/>
      <c r="E24" s="221" t="n"/>
      <c r="F24" s="221" t="n"/>
      <c r="G24" s="222" t="n"/>
      <c r="H24" s="220" t="inlineStr">
        <is>
          <t>DADOS DE PROCESSO</t>
        </is>
      </c>
      <c r="I24" s="221" t="n"/>
      <c r="J24" s="221" t="n"/>
      <c r="K24" s="221" t="n"/>
      <c r="L24" s="221" t="n"/>
      <c r="M24" s="221" t="n"/>
      <c r="N24" s="221" t="n"/>
      <c r="O24" s="221" t="n"/>
      <c r="P24" s="221" t="n"/>
      <c r="Q24" s="221" t="n"/>
      <c r="R24" s="221" t="n"/>
      <c r="S24" s="222" t="n"/>
    </row>
    <row r="25">
      <c r="A25" s="17" t="inlineStr">
        <is>
          <t>Tipo</t>
        </is>
      </c>
      <c r="B25" s="152" t="n"/>
      <c r="C25" s="181" t="n"/>
      <c r="D25" s="181" t="n"/>
      <c r="E25" s="181" t="n"/>
      <c r="F25" s="181" t="n"/>
      <c r="G25" s="181" t="n"/>
      <c r="H25" s="18" t="inlineStr">
        <is>
          <t>Fluido</t>
        </is>
      </c>
      <c r="I25" s="212" t="n"/>
      <c r="J25" s="212" t="n"/>
      <c r="K25" s="212" t="n"/>
      <c r="L25" s="212" t="n"/>
      <c r="M25" s="213" t="n"/>
      <c r="N25" s="232" t="inlineStr">
        <is>
          <t>(NOTA 1)</t>
        </is>
      </c>
      <c r="O25" s="173" t="n"/>
      <c r="P25" s="173" t="n"/>
      <c r="Q25" s="173" t="n"/>
      <c r="R25" s="173" t="n"/>
      <c r="S25" s="177" t="n"/>
    </row>
    <row r="26">
      <c r="A26" s="3" t="inlineStr">
        <is>
          <t>Range</t>
        </is>
      </c>
      <c r="B26" s="148" t="n"/>
      <c r="C26" s="205" t="n"/>
      <c r="D26" s="205" t="n"/>
      <c r="E26" s="205" t="n"/>
      <c r="F26" s="205" t="n"/>
      <c r="G26" s="205" t="n"/>
      <c r="H26" s="3" t="inlineStr">
        <is>
          <t>Estado físico</t>
        </is>
      </c>
      <c r="I26" s="205" t="n"/>
      <c r="J26" s="205" t="n"/>
      <c r="K26" s="205" t="n"/>
      <c r="L26" s="205" t="n"/>
      <c r="M26" s="206" t="n"/>
      <c r="N26" s="233" t="n"/>
      <c r="O26" s="184" t="n"/>
      <c r="P26" s="184" t="n"/>
      <c r="Q26" s="184" t="n"/>
      <c r="R26" s="184" t="n"/>
      <c r="S26" s="185" t="n"/>
    </row>
    <row r="27">
      <c r="A27" s="3" t="inlineStr">
        <is>
          <t>Volante</t>
        </is>
      </c>
      <c r="B27" s="148" t="n"/>
      <c r="C27" s="205" t="n"/>
      <c r="D27" s="205" t="n"/>
      <c r="E27" s="205" t="n"/>
      <c r="F27" s="205" t="n"/>
      <c r="G27" s="205" t="n"/>
      <c r="H27" s="3" t="inlineStr">
        <is>
          <t>Pressão de entrada</t>
        </is>
      </c>
      <c r="I27" s="205" t="n"/>
      <c r="J27" s="205" t="n"/>
      <c r="K27" s="205" t="n"/>
      <c r="L27" s="205" t="n"/>
      <c r="M27" s="206" t="n"/>
      <c r="N27" s="233" t="inlineStr">
        <is>
          <t>3,00</t>
        </is>
      </c>
      <c r="O27" s="184" t="n"/>
      <c r="P27" s="184" t="n"/>
      <c r="Q27" s="184" t="n"/>
      <c r="R27" s="184" t="n"/>
      <c r="S27" s="185" t="n"/>
    </row>
    <row r="28">
      <c r="A28" s="3" t="inlineStr">
        <is>
          <t>Ação em caso de falha</t>
        </is>
      </c>
      <c r="B28" s="148" t="n"/>
      <c r="C28" s="205" t="n"/>
      <c r="D28" s="205" t="n"/>
      <c r="E28" s="205" t="n"/>
      <c r="F28" s="205" t="n"/>
      <c r="G28" s="205" t="n"/>
      <c r="H28" s="3" t="inlineStr">
        <is>
          <t>Pressão de saída</t>
        </is>
      </c>
      <c r="I28" s="205" t="n"/>
      <c r="J28" s="205" t="n"/>
      <c r="K28" s="205" t="n"/>
      <c r="L28" s="205" t="n"/>
      <c r="M28" s="206" t="n"/>
      <c r="N28" s="233" t="n"/>
      <c r="O28" s="184" t="n"/>
      <c r="P28" s="184" t="n"/>
      <c r="Q28" s="184" t="n"/>
      <c r="R28" s="184" t="n"/>
      <c r="S28" s="185" t="n"/>
    </row>
    <row r="29" ht="13.8" customHeight="1" thickBot="1">
      <c r="A29" s="16" t="inlineStr">
        <is>
          <t>Pressão suprimento de ar (min/max)</t>
        </is>
      </c>
      <c r="B29" s="150" t="n"/>
      <c r="C29" s="184" t="n"/>
      <c r="D29" s="184" t="n"/>
      <c r="E29" s="184" t="n"/>
      <c r="F29" s="184" t="n"/>
      <c r="G29" s="184" t="n"/>
      <c r="H29" s="3" t="inlineStr">
        <is>
          <t>Viscosidade</t>
        </is>
      </c>
      <c r="I29" s="205" t="n"/>
      <c r="J29" s="205" t="n"/>
      <c r="K29" s="205" t="n"/>
      <c r="L29" s="205" t="n"/>
      <c r="M29" s="206" t="n"/>
      <c r="N29" s="233" t="inlineStr">
        <is>
          <t>&lt;50 cP</t>
        </is>
      </c>
      <c r="O29" s="184" t="n"/>
      <c r="P29" s="184" t="n"/>
      <c r="Q29" s="184" t="n"/>
      <c r="R29" s="184" t="n"/>
      <c r="S29" s="185" t="n"/>
    </row>
    <row r="30" ht="13.8" customHeight="1" thickBot="1">
      <c r="A30" s="142" t="inlineStr">
        <is>
          <t>POSICIONADOR</t>
        </is>
      </c>
      <c r="B30" s="221" t="n"/>
      <c r="C30" s="221" t="n"/>
      <c r="D30" s="221" t="n"/>
      <c r="E30" s="221" t="n"/>
      <c r="F30" s="221" t="n"/>
      <c r="G30" s="221" t="n"/>
      <c r="H30" s="3" t="inlineStr">
        <is>
          <t>Vazão normal</t>
        </is>
      </c>
      <c r="I30" s="205" t="n"/>
      <c r="J30" s="205" t="n"/>
      <c r="K30" s="205" t="n"/>
      <c r="L30" s="205" t="n"/>
      <c r="M30" s="206" t="n"/>
      <c r="N30" s="233" t="n"/>
      <c r="O30" s="184" t="n"/>
      <c r="P30" s="184" t="n"/>
      <c r="Q30" s="184" t="n"/>
      <c r="R30" s="184" t="n"/>
      <c r="S30" s="185" t="n"/>
    </row>
    <row r="31">
      <c r="A31" s="17" t="inlineStr">
        <is>
          <t>Tipo</t>
        </is>
      </c>
      <c r="B31" s="152" t="n"/>
      <c r="C31" s="181" t="n"/>
      <c r="D31" s="181" t="n"/>
      <c r="E31" s="181" t="n"/>
      <c r="F31" s="181" t="n"/>
      <c r="G31" s="181" t="n"/>
      <c r="H31" s="3" t="inlineStr">
        <is>
          <t>Vazão máxima</t>
        </is>
      </c>
      <c r="I31" s="205" t="n"/>
      <c r="J31" s="205" t="n"/>
      <c r="K31" s="205" t="n"/>
      <c r="L31" s="205" t="n"/>
      <c r="M31" s="206" t="n"/>
      <c r="N31" s="233" t="inlineStr">
        <is>
          <t>30.0</t>
        </is>
      </c>
      <c r="O31" s="184" t="n"/>
      <c r="P31" s="184" t="n"/>
      <c r="Q31" s="184" t="n"/>
      <c r="R31" s="184" t="n"/>
      <c r="S31" s="185" t="n"/>
    </row>
    <row r="32">
      <c r="A32" s="3" t="inlineStr">
        <is>
          <t>By-pass</t>
        </is>
      </c>
      <c r="B32" s="148" t="n"/>
      <c r="C32" s="205" t="n"/>
      <c r="D32" s="205" t="n"/>
      <c r="E32" s="205" t="n"/>
      <c r="F32" s="205" t="n"/>
      <c r="G32" s="205" t="n"/>
      <c r="H32" s="3" t="inlineStr">
        <is>
          <t>Vazão mínima</t>
        </is>
      </c>
      <c r="I32" s="205" t="n"/>
      <c r="J32" s="205" t="n"/>
      <c r="K32" s="205" t="n"/>
      <c r="L32" s="205" t="n"/>
      <c r="M32" s="206" t="n"/>
      <c r="N32" s="233" t="inlineStr">
        <is>
          <t>15.0</t>
        </is>
      </c>
      <c r="O32" s="184" t="n"/>
      <c r="P32" s="184" t="n"/>
      <c r="Q32" s="184" t="n"/>
      <c r="R32" s="184" t="n"/>
      <c r="S32" s="185" t="n"/>
    </row>
    <row r="33">
      <c r="A33" s="3" t="inlineStr">
        <is>
          <t>Manômetros quantidade</t>
        </is>
      </c>
      <c r="B33" s="148" t="n"/>
      <c r="C33" s="205" t="n"/>
      <c r="D33" s="205" t="n"/>
      <c r="E33" s="205" t="n"/>
      <c r="F33" s="205" t="n"/>
      <c r="G33" s="205" t="n"/>
      <c r="H33" s="3" t="inlineStr">
        <is>
          <t>Pressão shut off</t>
        </is>
      </c>
      <c r="I33" s="205" t="n"/>
      <c r="J33" s="205" t="n"/>
      <c r="K33" s="205" t="n"/>
      <c r="L33" s="205" t="n"/>
      <c r="M33" s="206" t="n"/>
      <c r="N33" s="233" t="n"/>
      <c r="O33" s="184" t="n"/>
      <c r="P33" s="184" t="n"/>
      <c r="Q33" s="184" t="n"/>
      <c r="R33" s="184" t="n"/>
      <c r="S33" s="185" t="n"/>
    </row>
    <row r="34">
      <c r="A34" s="3" t="inlineStr">
        <is>
          <t>Sinal de entrada</t>
        </is>
      </c>
      <c r="B34" s="148" t="n"/>
      <c r="C34" s="205" t="n"/>
      <c r="D34" s="205" t="n"/>
      <c r="E34" s="205" t="n"/>
      <c r="F34" s="205" t="n"/>
      <c r="G34" s="205" t="n"/>
      <c r="H34" s="3" t="inlineStr">
        <is>
          <t>Temperatura máxima</t>
        </is>
      </c>
      <c r="I34" s="205" t="n"/>
      <c r="J34" s="205" t="n"/>
      <c r="K34" s="205" t="n"/>
      <c r="L34" s="205" t="n"/>
      <c r="M34" s="206" t="n"/>
      <c r="N34" s="233" t="inlineStr">
        <is>
          <t>35</t>
        </is>
      </c>
      <c r="O34" s="184" t="n"/>
      <c r="P34" s="184" t="n"/>
      <c r="Q34" s="184" t="n"/>
      <c r="R34" s="184" t="n"/>
      <c r="S34" s="185" t="n"/>
    </row>
    <row r="35">
      <c r="A35" s="3" t="inlineStr">
        <is>
          <t>Sial de saída</t>
        </is>
      </c>
      <c r="B35" s="148" t="n"/>
      <c r="C35" s="205" t="n"/>
      <c r="D35" s="205" t="n"/>
      <c r="E35" s="205" t="n"/>
      <c r="F35" s="205" t="n"/>
      <c r="G35" s="205" t="n"/>
      <c r="H35" s="3" t="inlineStr">
        <is>
          <t>Temperatura normal</t>
        </is>
      </c>
      <c r="I35" s="205" t="n"/>
      <c r="J35" s="205" t="n"/>
      <c r="K35" s="205" t="n"/>
      <c r="L35" s="205" t="n"/>
      <c r="M35" s="206" t="n"/>
      <c r="N35" s="233" t="n"/>
      <c r="O35" s="184" t="n"/>
      <c r="P35" s="184" t="n"/>
      <c r="Q35" s="184" t="n"/>
      <c r="R35" s="184" t="n"/>
      <c r="S35" s="185" t="n"/>
    </row>
    <row r="36">
      <c r="A36" s="3" t="inlineStr">
        <is>
          <t>Característica do came</t>
        </is>
      </c>
      <c r="B36" s="148" t="n"/>
      <c r="C36" s="205" t="n"/>
      <c r="D36" s="205" t="n"/>
      <c r="E36" s="205" t="n"/>
      <c r="F36" s="205" t="n"/>
      <c r="G36" s="205" t="n"/>
      <c r="H36" s="3" t="inlineStr">
        <is>
          <t>Massa específica</t>
        </is>
      </c>
      <c r="I36" s="205" t="n"/>
      <c r="J36" s="205" t="n"/>
      <c r="K36" s="205" t="n"/>
      <c r="L36" s="205" t="n"/>
      <c r="M36" s="206" t="n"/>
      <c r="N36" s="233" t="inlineStr">
        <is>
          <t>1120 kg/m³</t>
        </is>
      </c>
      <c r="O36" s="184" t="n"/>
      <c r="P36" s="184" t="n"/>
      <c r="Q36" s="184" t="n"/>
      <c r="R36" s="184" t="n"/>
      <c r="S36" s="185" t="n"/>
    </row>
    <row r="37" ht="13.8" customHeight="1" thickBot="1">
      <c r="A37" s="16" t="inlineStr">
        <is>
          <t>Alimentação de ar</t>
        </is>
      </c>
      <c r="B37" s="150" t="n"/>
      <c r="C37" s="184" t="n"/>
      <c r="D37" s="184" t="n"/>
      <c r="E37" s="184" t="n"/>
      <c r="F37" s="184" t="n"/>
      <c r="G37" s="184" t="n"/>
      <c r="H37" s="3" t="inlineStr">
        <is>
          <t>Cv calculado (máximo) / % abertura</t>
        </is>
      </c>
      <c r="I37" s="205" t="n"/>
      <c r="J37" s="205" t="n"/>
      <c r="K37" s="205" t="n"/>
      <c r="L37" s="205" t="n"/>
      <c r="M37" s="206" t="n"/>
      <c r="N37" s="224" t="n"/>
      <c r="O37" s="184" t="n"/>
      <c r="P37" s="184" t="n"/>
      <c r="Q37" s="184" t="n"/>
      <c r="R37" s="184" t="n"/>
      <c r="S37" s="185" t="n"/>
    </row>
    <row r="38" ht="13.8" customHeight="1" thickBot="1">
      <c r="A38" s="142" t="inlineStr">
        <is>
          <t>ACESSÓRIOS</t>
        </is>
      </c>
      <c r="B38" s="221" t="n"/>
      <c r="C38" s="221" t="n"/>
      <c r="D38" s="221" t="n"/>
      <c r="E38" s="221" t="n"/>
      <c r="F38" s="221" t="n"/>
      <c r="G38" s="221" t="n"/>
      <c r="H38" s="3" t="inlineStr">
        <is>
          <t>Cv calculado (normal) / % abertura</t>
        </is>
      </c>
      <c r="I38" s="205" t="n"/>
      <c r="J38" s="205" t="n"/>
      <c r="K38" s="205" t="n"/>
      <c r="L38" s="205" t="n"/>
      <c r="M38" s="206" t="n"/>
      <c r="N38" s="224" t="n"/>
      <c r="O38" s="184" t="n"/>
      <c r="P38" s="184" t="n"/>
      <c r="Q38" s="184" t="n"/>
      <c r="R38" s="184" t="n"/>
      <c r="S38" s="185" t="n"/>
    </row>
    <row r="39">
      <c r="A39" s="17" t="inlineStr">
        <is>
          <t>Filtro / Filtro regulador</t>
        </is>
      </c>
      <c r="B39" s="152" t="n"/>
      <c r="C39" s="181" t="n"/>
      <c r="D39" s="181" t="n"/>
      <c r="E39" s="181" t="n"/>
      <c r="F39" s="181" t="n"/>
      <c r="G39" s="181" t="n"/>
      <c r="H39" s="3" t="inlineStr">
        <is>
          <t>Cv calculado (mínimo) / % abertura</t>
        </is>
      </c>
      <c r="I39" s="205" t="n"/>
      <c r="J39" s="205" t="n"/>
      <c r="K39" s="205" t="n"/>
      <c r="L39" s="205" t="n"/>
      <c r="M39" s="206" t="n"/>
      <c r="N39" s="224" t="n"/>
      <c r="O39" s="184" t="n"/>
      <c r="P39" s="184" t="n"/>
      <c r="Q39" s="184" t="n"/>
      <c r="R39" s="184" t="n"/>
      <c r="S39" s="185" t="n"/>
    </row>
    <row r="40">
      <c r="A40" s="3" t="inlineStr">
        <is>
          <t>Manômetro para o regulador</t>
        </is>
      </c>
      <c r="B40" s="148" t="n"/>
      <c r="C40" s="205" t="n"/>
      <c r="D40" s="205" t="n"/>
      <c r="E40" s="205" t="n"/>
      <c r="F40" s="205" t="n"/>
      <c r="G40" s="205" t="n"/>
      <c r="H40" s="3" t="inlineStr">
        <is>
          <t>Cv selecionado</t>
        </is>
      </c>
      <c r="I40" s="205" t="n"/>
      <c r="J40" s="205" t="n"/>
      <c r="K40" s="205" t="n"/>
      <c r="L40" s="205" t="n"/>
      <c r="M40" s="206" t="n"/>
      <c r="N40" s="224" t="n"/>
      <c r="O40" s="184" t="n"/>
      <c r="P40" s="184" t="n"/>
      <c r="Q40" s="184" t="n"/>
      <c r="R40" s="184" t="n"/>
      <c r="S40" s="185" t="n"/>
    </row>
    <row r="41" ht="13.8" customHeight="1" thickBot="1">
      <c r="A41" s="6" t="inlineStr">
        <is>
          <t>Posição do volante</t>
        </is>
      </c>
      <c r="B41" s="154" t="n"/>
      <c r="C41" s="208" t="n"/>
      <c r="D41" s="208" t="n"/>
      <c r="E41" s="208" t="n"/>
      <c r="F41" s="208" t="n"/>
      <c r="G41" s="208" t="n"/>
      <c r="H41" s="6" t="inlineStr">
        <is>
          <t>Nível de ruído</t>
        </is>
      </c>
      <c r="I41" s="208" t="n"/>
      <c r="J41" s="208" t="n"/>
      <c r="K41" s="208" t="n"/>
      <c r="L41" s="208" t="n"/>
      <c r="M41" s="209" t="n"/>
      <c r="N41" s="225" t="n"/>
      <c r="O41" s="208" t="n"/>
      <c r="P41" s="208" t="n"/>
      <c r="Q41" s="208" t="n"/>
      <c r="R41" s="208" t="n"/>
      <c r="S41" s="226" t="n"/>
    </row>
    <row r="42">
      <c r="A42" s="234" t="inlineStr">
        <is>
          <t>Notas:</t>
        </is>
      </c>
      <c r="B42" s="173" t="n"/>
      <c r="C42" s="173" t="n"/>
      <c r="D42" s="173" t="n"/>
      <c r="E42" s="173" t="n"/>
      <c r="F42" s="173" t="n"/>
      <c r="G42" s="173" t="n"/>
      <c r="H42" s="173" t="n"/>
      <c r="I42" s="173" t="n"/>
      <c r="J42" s="173" t="n"/>
      <c r="K42" s="173" t="n"/>
      <c r="L42" s="173" t="n"/>
      <c r="M42" s="173" t="n"/>
      <c r="N42" s="173" t="n"/>
      <c r="O42" s="173" t="n"/>
      <c r="P42" s="173" t="n"/>
      <c r="Q42" s="173" t="n"/>
      <c r="R42" s="173" t="n"/>
      <c r="S42" s="177" t="n"/>
    </row>
    <row r="43" ht="13.8" customHeight="1" thickBot="1">
      <c r="A43" s="235" t="inlineStr">
        <is>
          <t>(NOTA 1): CRESTIVO (A16003E); BIRK 25% (A25191A); BIRTEA; CRESTIVO DUO</t>
        </is>
      </c>
      <c r="B43" s="197" t="n"/>
      <c r="C43" s="197" t="n"/>
      <c r="D43" s="197" t="n"/>
      <c r="E43" s="197" t="n"/>
      <c r="F43" s="197" t="n"/>
      <c r="G43" s="197" t="n"/>
      <c r="H43" s="197" t="n"/>
      <c r="I43" s="197" t="n"/>
      <c r="J43" s="197" t="n"/>
      <c r="K43" s="197" t="n"/>
      <c r="L43" s="197" t="n"/>
      <c r="M43" s="197" t="n"/>
      <c r="N43" s="197" t="n"/>
      <c r="O43" s="197" t="n"/>
      <c r="P43" s="197" t="n"/>
      <c r="Q43" s="197" t="n"/>
      <c r="R43" s="197" t="n"/>
      <c r="S43" s="199" t="n"/>
    </row>
    <row r="44">
      <c r="A44" s="7" t="n"/>
    </row>
    <row r="45">
      <c r="A45" s="2" t="n"/>
    </row>
    <row r="46">
      <c r="A46" s="2" t="n"/>
    </row>
    <row r="47">
      <c r="A47" s="2" t="n"/>
    </row>
    <row r="48">
      <c r="A48" s="2" t="n"/>
    </row>
    <row r="49">
      <c r="A49" s="2" t="n"/>
    </row>
    <row r="50">
      <c r="A50" s="2" t="n"/>
    </row>
    <row r="51">
      <c r="A51" s="2" t="n"/>
    </row>
    <row r="52">
      <c r="A52" s="2" t="n"/>
    </row>
    <row r="53">
      <c r="A53" s="2" t="n"/>
    </row>
    <row r="54">
      <c r="A54" s="2" t="n"/>
    </row>
  </sheetData>
  <mergeCells count="116">
    <mergeCell ref="H21:M21"/>
    <mergeCell ref="N23:S23"/>
    <mergeCell ref="B8:G8"/>
    <mergeCell ref="N18:S18"/>
    <mergeCell ref="A1:A4"/>
    <mergeCell ref="N8:S8"/>
    <mergeCell ref="H7:M7"/>
    <mergeCell ref="B10:G10"/>
    <mergeCell ref="N10:S10"/>
    <mergeCell ref="A30:G30"/>
    <mergeCell ref="H27:M27"/>
    <mergeCell ref="N34:S34"/>
    <mergeCell ref="H33:M33"/>
    <mergeCell ref="B36:G36"/>
    <mergeCell ref="N27:S27"/>
    <mergeCell ref="H5:S5"/>
    <mergeCell ref="N36:S36"/>
    <mergeCell ref="H35:M35"/>
    <mergeCell ref="N11:S11"/>
    <mergeCell ref="N20:S20"/>
    <mergeCell ref="B22:G22"/>
    <mergeCell ref="B31:G31"/>
    <mergeCell ref="N22:S22"/>
    <mergeCell ref="H9:M9"/>
    <mergeCell ref="B12:G12"/>
    <mergeCell ref="H39:M39"/>
    <mergeCell ref="B21:G21"/>
    <mergeCell ref="B39:G39"/>
    <mergeCell ref="N12:S12"/>
    <mergeCell ref="N21:S21"/>
    <mergeCell ref="B14:G14"/>
    <mergeCell ref="B23:G23"/>
    <mergeCell ref="N14:S14"/>
    <mergeCell ref="B13:G13"/>
    <mergeCell ref="A43:S43"/>
    <mergeCell ref="N38:S38"/>
    <mergeCell ref="H16:S16"/>
    <mergeCell ref="H32:M32"/>
    <mergeCell ref="H13:M13"/>
    <mergeCell ref="N40:S40"/>
    <mergeCell ref="B33:G33"/>
    <mergeCell ref="H15:M15"/>
    <mergeCell ref="H18:M18"/>
    <mergeCell ref="B41:G41"/>
    <mergeCell ref="B35:G35"/>
    <mergeCell ref="C2:S2"/>
    <mergeCell ref="H8:M8"/>
    <mergeCell ref="N26:S26"/>
    <mergeCell ref="N35:S35"/>
    <mergeCell ref="H26:M26"/>
    <mergeCell ref="B25:G25"/>
    <mergeCell ref="N25:S25"/>
    <mergeCell ref="H10:M10"/>
    <mergeCell ref="H41:M41"/>
    <mergeCell ref="B27:G27"/>
    <mergeCell ref="H34:M34"/>
    <mergeCell ref="H25:M25"/>
    <mergeCell ref="B11:G11"/>
    <mergeCell ref="A5:G5"/>
    <mergeCell ref="A42:S42"/>
    <mergeCell ref="H36:M36"/>
    <mergeCell ref="A38:G38"/>
    <mergeCell ref="H17:M17"/>
    <mergeCell ref="N39:S39"/>
    <mergeCell ref="H11:M11"/>
    <mergeCell ref="B29:G29"/>
    <mergeCell ref="N29:S29"/>
    <mergeCell ref="H19:M19"/>
    <mergeCell ref="H28:M28"/>
    <mergeCell ref="H37:M37"/>
    <mergeCell ref="A24:G24"/>
    <mergeCell ref="N13:S13"/>
    <mergeCell ref="B40:G40"/>
    <mergeCell ref="H12:M12"/>
    <mergeCell ref="N31:S31"/>
    <mergeCell ref="B15:G15"/>
    <mergeCell ref="J1:S1"/>
    <mergeCell ref="N6:S6"/>
    <mergeCell ref="N15:S15"/>
    <mergeCell ref="H24:S24"/>
    <mergeCell ref="H14:M14"/>
    <mergeCell ref="B32:G32"/>
    <mergeCell ref="H23:M23"/>
    <mergeCell ref="A16:G16"/>
    <mergeCell ref="B26:G26"/>
    <mergeCell ref="Y16:Y23"/>
    <mergeCell ref="B7:G7"/>
    <mergeCell ref="H38:M38"/>
    <mergeCell ref="N32:S32"/>
    <mergeCell ref="N7:S7"/>
    <mergeCell ref="N41:S41"/>
    <mergeCell ref="H40:M40"/>
    <mergeCell ref="B18:G18"/>
    <mergeCell ref="N33:S33"/>
    <mergeCell ref="B17:G17"/>
    <mergeCell ref="N17:S17"/>
    <mergeCell ref="B19:G19"/>
    <mergeCell ref="B34:G34"/>
    <mergeCell ref="B28:G28"/>
    <mergeCell ref="B37:G37"/>
    <mergeCell ref="N19:S19"/>
    <mergeCell ref="H22:M22"/>
    <mergeCell ref="B9:G9"/>
    <mergeCell ref="N28:S28"/>
    <mergeCell ref="N9:S9"/>
    <mergeCell ref="B6:G6"/>
    <mergeCell ref="B20:G20"/>
    <mergeCell ref="N30:S30"/>
    <mergeCell ref="B3:S4"/>
    <mergeCell ref="H30:M30"/>
    <mergeCell ref="H20:M20"/>
    <mergeCell ref="H29:M29"/>
    <mergeCell ref="B1:H1"/>
    <mergeCell ref="N37:S37"/>
    <mergeCell ref="H31:M31"/>
    <mergeCell ref="H6:M6"/>
  </mergeCells>
  <pageMargins left="0.25" right="0.25" top="0.75" bottom="0.75" header="0.3" footer="0.3"/>
  <pageSetup orientation="portrait" paperSize="9" scale="82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aemalavazzi</dc:creator>
  <dcterms:created xsi:type="dcterms:W3CDTF">2011-02-14T10:50:06Z</dcterms:created>
  <dcterms:modified xsi:type="dcterms:W3CDTF">2025-03-12T20:01:38Z</dcterms:modified>
  <cp:lastModifiedBy>Hugo Lima</cp:lastModifiedBy>
  <cp:lastPrinted>2023-09-19T13:28:04Z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TaxCatchAll" fmtid="{D5CDD505-2E9C-101B-9397-08002B2CF9AE}" pid="2">
    <vt:lpwstr/>
  </property>
  <property name="lcf76f155ced4ddcb4097134ff3c332f" fmtid="{D5CDD505-2E9C-101B-9397-08002B2CF9AE}" pid="3">
    <vt:lpwstr/>
  </property>
  <property name="ContentTypeId" fmtid="{D5CDD505-2E9C-101B-9397-08002B2CF9AE}" pid="4">
    <vt:lpwstr>0x010100C48736B436F1234188764D7356CC9921</vt:lpwstr>
  </property>
  <property name="MediaServiceImageTags" fmtid="{D5CDD505-2E9C-101B-9397-08002B2CF9AE}" pid="5">
    <vt:lpwstr/>
  </property>
</Properties>
</file>